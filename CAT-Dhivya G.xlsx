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LCOT\Documents\"/>
    </mc:Choice>
  </mc:AlternateContent>
  <xr:revisionPtr revIDLastSave="0" documentId="13_ncr:1_{CB35CBBC-3639-49A3-B722-B6EF79125C9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TTqrV2Jzy4RY9HoXkR22QjQCBFh6TDgvjN3mm10uN1M="/>
    </ext>
  </extLst>
</workbook>
</file>

<file path=xl/calcChain.xml><?xml version="1.0" encoding="utf-8"?>
<calcChain xmlns="http://schemas.openxmlformats.org/spreadsheetml/2006/main">
  <c r="B12" i="3" l="1"/>
  <c r="B10" i="3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B11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B8" i="3"/>
  <c r="B9" i="3"/>
  <c r="B7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<sst xmlns="http://schemas.openxmlformats.org/spreadsheetml/2006/main" count="2535" uniqueCount="1047">
  <si>
    <t>MovieID</t>
  </si>
  <si>
    <t>Title</t>
  </si>
  <si>
    <t>Genre</t>
  </si>
  <si>
    <t>Duration_Minutes</t>
  </si>
  <si>
    <t>Rating</t>
  </si>
  <si>
    <t>Language</t>
  </si>
  <si>
    <t>ReleasedYear</t>
  </si>
  <si>
    <t>Available</t>
  </si>
  <si>
    <t>LastWatchedDate</t>
  </si>
  <si>
    <t>M1000</t>
  </si>
  <si>
    <t>Movie_0</t>
  </si>
  <si>
    <t>Horror</t>
  </si>
  <si>
    <t>Japanese</t>
  </si>
  <si>
    <t>Yes</t>
  </si>
  <si>
    <t>M1001</t>
  </si>
  <si>
    <t>Movie_1</t>
  </si>
  <si>
    <t>Action</t>
  </si>
  <si>
    <t>Hindi</t>
  </si>
  <si>
    <t>No</t>
  </si>
  <si>
    <t>M1002</t>
  </si>
  <si>
    <t>Movie_2</t>
  </si>
  <si>
    <t>Spanish</t>
  </si>
  <si>
    <t>M1003</t>
  </si>
  <si>
    <t>Movie_3</t>
  </si>
  <si>
    <t>French</t>
  </si>
  <si>
    <t>M1004</t>
  </si>
  <si>
    <t>Movie_4</t>
  </si>
  <si>
    <t>Drama</t>
  </si>
  <si>
    <t>English</t>
  </si>
  <si>
    <t>M1005</t>
  </si>
  <si>
    <t>Movie_5</t>
  </si>
  <si>
    <t>Comedy</t>
  </si>
  <si>
    <t>M1006</t>
  </si>
  <si>
    <t>Movie_6</t>
  </si>
  <si>
    <t>M1007</t>
  </si>
  <si>
    <t>Movie_7</t>
  </si>
  <si>
    <t>M1008</t>
  </si>
  <si>
    <t>Movie_8</t>
  </si>
  <si>
    <t>M1009</t>
  </si>
  <si>
    <t>Movie_9</t>
  </si>
  <si>
    <t>M1010</t>
  </si>
  <si>
    <t>Movie_10</t>
  </si>
  <si>
    <t>M1011</t>
  </si>
  <si>
    <t>Movie_11</t>
  </si>
  <si>
    <t>M1012</t>
  </si>
  <si>
    <t>Movie_12</t>
  </si>
  <si>
    <t>Sci-Fi</t>
  </si>
  <si>
    <t>M1013</t>
  </si>
  <si>
    <t>Movie_13</t>
  </si>
  <si>
    <t>German</t>
  </si>
  <si>
    <t>M1014</t>
  </si>
  <si>
    <t>Movie_14</t>
  </si>
  <si>
    <t>M1015</t>
  </si>
  <si>
    <t>Movie_15</t>
  </si>
  <si>
    <t>Thriller</t>
  </si>
  <si>
    <t>M1016</t>
  </si>
  <si>
    <t>Movie_16</t>
  </si>
  <si>
    <t>M1017</t>
  </si>
  <si>
    <t>Movie_17</t>
  </si>
  <si>
    <t>M1018</t>
  </si>
  <si>
    <t>Movie_18</t>
  </si>
  <si>
    <t>M1019</t>
  </si>
  <si>
    <t>Movie_19</t>
  </si>
  <si>
    <t>M1020</t>
  </si>
  <si>
    <t>Movie_20</t>
  </si>
  <si>
    <t>M1021</t>
  </si>
  <si>
    <t>Movie_21</t>
  </si>
  <si>
    <t>M1022</t>
  </si>
  <si>
    <t>Movie_22</t>
  </si>
  <si>
    <t>M1023</t>
  </si>
  <si>
    <t>Movie_23</t>
  </si>
  <si>
    <t>M1024</t>
  </si>
  <si>
    <t>Movie_24</t>
  </si>
  <si>
    <t>M1025</t>
  </si>
  <si>
    <t>Movie_25</t>
  </si>
  <si>
    <t>M1026</t>
  </si>
  <si>
    <t>Movie_26</t>
  </si>
  <si>
    <t>M1027</t>
  </si>
  <si>
    <t>Movie_27</t>
  </si>
  <si>
    <t>M1028</t>
  </si>
  <si>
    <t>Movie_28</t>
  </si>
  <si>
    <t>M1029</t>
  </si>
  <si>
    <t>Movie_29</t>
  </si>
  <si>
    <t>M1030</t>
  </si>
  <si>
    <t>Movie_30</t>
  </si>
  <si>
    <t>M1031</t>
  </si>
  <si>
    <t>Movie_31</t>
  </si>
  <si>
    <t>M1032</t>
  </si>
  <si>
    <t>Movie_32</t>
  </si>
  <si>
    <t>M1033</t>
  </si>
  <si>
    <t>Movie_33</t>
  </si>
  <si>
    <t>M1034</t>
  </si>
  <si>
    <t>Movie_34</t>
  </si>
  <si>
    <t>M1035</t>
  </si>
  <si>
    <t>Movie_35</t>
  </si>
  <si>
    <t>M1036</t>
  </si>
  <si>
    <t>Movie_36</t>
  </si>
  <si>
    <t>M1037</t>
  </si>
  <si>
    <t>Movie_37</t>
  </si>
  <si>
    <t>M1038</t>
  </si>
  <si>
    <t>Movie_38</t>
  </si>
  <si>
    <t>M1039</t>
  </si>
  <si>
    <t>Movie_39</t>
  </si>
  <si>
    <t>M1040</t>
  </si>
  <si>
    <t>Movie_40</t>
  </si>
  <si>
    <t>M1041</t>
  </si>
  <si>
    <t>Movie_41</t>
  </si>
  <si>
    <t>M1042</t>
  </si>
  <si>
    <t>Movie_42</t>
  </si>
  <si>
    <t>M1043</t>
  </si>
  <si>
    <t>Movie_43</t>
  </si>
  <si>
    <t>M1044</t>
  </si>
  <si>
    <t>Movie_44</t>
  </si>
  <si>
    <t>M1045</t>
  </si>
  <si>
    <t>Movie_45</t>
  </si>
  <si>
    <t>M1046</t>
  </si>
  <si>
    <t>Movie_46</t>
  </si>
  <si>
    <t>M1047</t>
  </si>
  <si>
    <t>Movie_47</t>
  </si>
  <si>
    <t>M1048</t>
  </si>
  <si>
    <t>Movie_48</t>
  </si>
  <si>
    <t>M1049</t>
  </si>
  <si>
    <t>Movie_49</t>
  </si>
  <si>
    <t>M1050</t>
  </si>
  <si>
    <t>Movie_50</t>
  </si>
  <si>
    <t>M1051</t>
  </si>
  <si>
    <t>Movie_51</t>
  </si>
  <si>
    <t>M1052</t>
  </si>
  <si>
    <t>Movie_52</t>
  </si>
  <si>
    <t>M1053</t>
  </si>
  <si>
    <t>Movie_53</t>
  </si>
  <si>
    <t>M1054</t>
  </si>
  <si>
    <t>Movie_54</t>
  </si>
  <si>
    <t>M1055</t>
  </si>
  <si>
    <t>Movie_55</t>
  </si>
  <si>
    <t>M1056</t>
  </si>
  <si>
    <t>Movie_56</t>
  </si>
  <si>
    <t>M1057</t>
  </si>
  <si>
    <t>Movie_57</t>
  </si>
  <si>
    <t>M1058</t>
  </si>
  <si>
    <t>Movie_58</t>
  </si>
  <si>
    <t>M1059</t>
  </si>
  <si>
    <t>Movie_59</t>
  </si>
  <si>
    <t>M1060</t>
  </si>
  <si>
    <t>Movie_60</t>
  </si>
  <si>
    <t>M1061</t>
  </si>
  <si>
    <t>Movie_61</t>
  </si>
  <si>
    <t>M1062</t>
  </si>
  <si>
    <t>Movie_62</t>
  </si>
  <si>
    <t>M1063</t>
  </si>
  <si>
    <t>Movie_63</t>
  </si>
  <si>
    <t>M1064</t>
  </si>
  <si>
    <t>Movie_64</t>
  </si>
  <si>
    <t>M1065</t>
  </si>
  <si>
    <t>Movie_65</t>
  </si>
  <si>
    <t>M1066</t>
  </si>
  <si>
    <t>Movie_66</t>
  </si>
  <si>
    <t>M1067</t>
  </si>
  <si>
    <t>Movie_67</t>
  </si>
  <si>
    <t>M1068</t>
  </si>
  <si>
    <t>Movie_68</t>
  </si>
  <si>
    <t>M1069</t>
  </si>
  <si>
    <t>Movie_69</t>
  </si>
  <si>
    <t>M1070</t>
  </si>
  <si>
    <t>Movie_70</t>
  </si>
  <si>
    <t>M1071</t>
  </si>
  <si>
    <t>Movie_71</t>
  </si>
  <si>
    <t>M1072</t>
  </si>
  <si>
    <t>Movie_72</t>
  </si>
  <si>
    <t>M1073</t>
  </si>
  <si>
    <t>Movie_73</t>
  </si>
  <si>
    <t>M1074</t>
  </si>
  <si>
    <t>Movie_74</t>
  </si>
  <si>
    <t>M1075</t>
  </si>
  <si>
    <t>Movie_75</t>
  </si>
  <si>
    <t>M1076</t>
  </si>
  <si>
    <t>Movie_76</t>
  </si>
  <si>
    <t>M1077</t>
  </si>
  <si>
    <t>Movie_77</t>
  </si>
  <si>
    <t>M1078</t>
  </si>
  <si>
    <t>Movie_78</t>
  </si>
  <si>
    <t>M1079</t>
  </si>
  <si>
    <t>Movie_79</t>
  </si>
  <si>
    <t>M1080</t>
  </si>
  <si>
    <t>Movie_80</t>
  </si>
  <si>
    <t>M1081</t>
  </si>
  <si>
    <t>Movie_81</t>
  </si>
  <si>
    <t>M1082</t>
  </si>
  <si>
    <t>Movie_82</t>
  </si>
  <si>
    <t>M1083</t>
  </si>
  <si>
    <t>Movie_83</t>
  </si>
  <si>
    <t>M1084</t>
  </si>
  <si>
    <t>Movie_84</t>
  </si>
  <si>
    <t>M1085</t>
  </si>
  <si>
    <t>Movie_85</t>
  </si>
  <si>
    <t>M1086</t>
  </si>
  <si>
    <t>Movie_86</t>
  </si>
  <si>
    <t>M1087</t>
  </si>
  <si>
    <t>Movie_87</t>
  </si>
  <si>
    <t>M1088</t>
  </si>
  <si>
    <t>Movie_88</t>
  </si>
  <si>
    <t>M1089</t>
  </si>
  <si>
    <t>Movie_89</t>
  </si>
  <si>
    <t>M1090</t>
  </si>
  <si>
    <t>Movie_90</t>
  </si>
  <si>
    <t>M1091</t>
  </si>
  <si>
    <t>Movie_91</t>
  </si>
  <si>
    <t>M1092</t>
  </si>
  <si>
    <t>Movie_92</t>
  </si>
  <si>
    <t>M1093</t>
  </si>
  <si>
    <t>Movie_93</t>
  </si>
  <si>
    <t>M1094</t>
  </si>
  <si>
    <t>Movie_94</t>
  </si>
  <si>
    <t>M1095</t>
  </si>
  <si>
    <t>Movie_95</t>
  </si>
  <si>
    <t>M1096</t>
  </si>
  <si>
    <t>Movie_96</t>
  </si>
  <si>
    <t>M1097</t>
  </si>
  <si>
    <t>Movie_97</t>
  </si>
  <si>
    <t>M1098</t>
  </si>
  <si>
    <t>Movie_98</t>
  </si>
  <si>
    <t>M1099</t>
  </si>
  <si>
    <t>Movie_99</t>
  </si>
  <si>
    <t>M1100</t>
  </si>
  <si>
    <t>Movie_100</t>
  </si>
  <si>
    <t>M1101</t>
  </si>
  <si>
    <t>Movie_101</t>
  </si>
  <si>
    <t>M1102</t>
  </si>
  <si>
    <t>Movie_102</t>
  </si>
  <si>
    <t>M1103</t>
  </si>
  <si>
    <t>Movie_103</t>
  </si>
  <si>
    <t>M1104</t>
  </si>
  <si>
    <t>Movie_104</t>
  </si>
  <si>
    <t>M1105</t>
  </si>
  <si>
    <t>Movie_105</t>
  </si>
  <si>
    <t>M1106</t>
  </si>
  <si>
    <t>Movie_106</t>
  </si>
  <si>
    <t>M1107</t>
  </si>
  <si>
    <t>Movie_107</t>
  </si>
  <si>
    <t>M1108</t>
  </si>
  <si>
    <t>Movie_108</t>
  </si>
  <si>
    <t>M1109</t>
  </si>
  <si>
    <t>Movie_109</t>
  </si>
  <si>
    <t>M1110</t>
  </si>
  <si>
    <t>Movie_110</t>
  </si>
  <si>
    <t>M1111</t>
  </si>
  <si>
    <t>Movie_111</t>
  </si>
  <si>
    <t>M1112</t>
  </si>
  <si>
    <t>Movie_112</t>
  </si>
  <si>
    <t>M1113</t>
  </si>
  <si>
    <t>Movie_113</t>
  </si>
  <si>
    <t>M1114</t>
  </si>
  <si>
    <t>Movie_114</t>
  </si>
  <si>
    <t>M1115</t>
  </si>
  <si>
    <t>Movie_115</t>
  </si>
  <si>
    <t>M1116</t>
  </si>
  <si>
    <t>Movie_116</t>
  </si>
  <si>
    <t>M1117</t>
  </si>
  <si>
    <t>Movie_117</t>
  </si>
  <si>
    <t>M1118</t>
  </si>
  <si>
    <t>Movie_118</t>
  </si>
  <si>
    <t>M1119</t>
  </si>
  <si>
    <t>Movie_119</t>
  </si>
  <si>
    <t>M1120</t>
  </si>
  <si>
    <t>Movie_120</t>
  </si>
  <si>
    <t>M1121</t>
  </si>
  <si>
    <t>Movie_121</t>
  </si>
  <si>
    <t>M1122</t>
  </si>
  <si>
    <t>Movie_122</t>
  </si>
  <si>
    <t>M1123</t>
  </si>
  <si>
    <t>Movie_123</t>
  </si>
  <si>
    <t>M1124</t>
  </si>
  <si>
    <t>Movie_124</t>
  </si>
  <si>
    <t>M1125</t>
  </si>
  <si>
    <t>Movie_125</t>
  </si>
  <si>
    <t>M1126</t>
  </si>
  <si>
    <t>Movie_126</t>
  </si>
  <si>
    <t>M1127</t>
  </si>
  <si>
    <t>Movie_127</t>
  </si>
  <si>
    <t>M1128</t>
  </si>
  <si>
    <t>Movie_128</t>
  </si>
  <si>
    <t>M1129</t>
  </si>
  <si>
    <t>Movie_129</t>
  </si>
  <si>
    <t>M1130</t>
  </si>
  <si>
    <t>Movie_130</t>
  </si>
  <si>
    <t>M1131</t>
  </si>
  <si>
    <t>Movie_131</t>
  </si>
  <si>
    <t>M1132</t>
  </si>
  <si>
    <t>Movie_132</t>
  </si>
  <si>
    <t>M1133</t>
  </si>
  <si>
    <t>Movie_133</t>
  </si>
  <si>
    <t>M1134</t>
  </si>
  <si>
    <t>Movie_134</t>
  </si>
  <si>
    <t>M1135</t>
  </si>
  <si>
    <t>Movie_135</t>
  </si>
  <si>
    <t>M1136</t>
  </si>
  <si>
    <t>Movie_136</t>
  </si>
  <si>
    <t>M1137</t>
  </si>
  <si>
    <t>Movie_137</t>
  </si>
  <si>
    <t>M1138</t>
  </si>
  <si>
    <t>Movie_138</t>
  </si>
  <si>
    <t>M1139</t>
  </si>
  <si>
    <t>Movie_139</t>
  </si>
  <si>
    <t>M1140</t>
  </si>
  <si>
    <t>Movie_140</t>
  </si>
  <si>
    <t>M1141</t>
  </si>
  <si>
    <t>Movie_141</t>
  </si>
  <si>
    <t>M1142</t>
  </si>
  <si>
    <t>Movie_142</t>
  </si>
  <si>
    <t>M1143</t>
  </si>
  <si>
    <t>Movie_143</t>
  </si>
  <si>
    <t>M1144</t>
  </si>
  <si>
    <t>Movie_144</t>
  </si>
  <si>
    <t>M1145</t>
  </si>
  <si>
    <t>Movie_145</t>
  </si>
  <si>
    <t>M1146</t>
  </si>
  <si>
    <t>Movie_146</t>
  </si>
  <si>
    <t>M1147</t>
  </si>
  <si>
    <t>Movie_147</t>
  </si>
  <si>
    <t>M1148</t>
  </si>
  <si>
    <t>Movie_148</t>
  </si>
  <si>
    <t>M1149</t>
  </si>
  <si>
    <t>Movie_149</t>
  </si>
  <si>
    <t>M1150</t>
  </si>
  <si>
    <t>Movie_150</t>
  </si>
  <si>
    <t>M1151</t>
  </si>
  <si>
    <t>Movie_151</t>
  </si>
  <si>
    <t>M1152</t>
  </si>
  <si>
    <t>Movie_152</t>
  </si>
  <si>
    <t>M1153</t>
  </si>
  <si>
    <t>Movie_153</t>
  </si>
  <si>
    <t>M1154</t>
  </si>
  <si>
    <t>Movie_154</t>
  </si>
  <si>
    <t>M1155</t>
  </si>
  <si>
    <t>Movie_155</t>
  </si>
  <si>
    <t>M1156</t>
  </si>
  <si>
    <t>Movie_156</t>
  </si>
  <si>
    <t>M1157</t>
  </si>
  <si>
    <t>Movie_157</t>
  </si>
  <si>
    <t>M1158</t>
  </si>
  <si>
    <t>Movie_158</t>
  </si>
  <si>
    <t>M1159</t>
  </si>
  <si>
    <t>Movie_159</t>
  </si>
  <si>
    <t>M1160</t>
  </si>
  <si>
    <t>Movie_160</t>
  </si>
  <si>
    <t>M1161</t>
  </si>
  <si>
    <t>Movie_161</t>
  </si>
  <si>
    <t>M1162</t>
  </si>
  <si>
    <t>Movie_162</t>
  </si>
  <si>
    <t>M1163</t>
  </si>
  <si>
    <t>Movie_163</t>
  </si>
  <si>
    <t>M1164</t>
  </si>
  <si>
    <t>Movie_164</t>
  </si>
  <si>
    <t>M1165</t>
  </si>
  <si>
    <t>Movie_165</t>
  </si>
  <si>
    <t>M1166</t>
  </si>
  <si>
    <t>Movie_166</t>
  </si>
  <si>
    <t>M1167</t>
  </si>
  <si>
    <t>Movie_167</t>
  </si>
  <si>
    <t>M1168</t>
  </si>
  <si>
    <t>Movie_168</t>
  </si>
  <si>
    <t>M1169</t>
  </si>
  <si>
    <t>Movie_169</t>
  </si>
  <si>
    <t>M1170</t>
  </si>
  <si>
    <t>Movie_170</t>
  </si>
  <si>
    <t>M1171</t>
  </si>
  <si>
    <t>Movie_171</t>
  </si>
  <si>
    <t>M1172</t>
  </si>
  <si>
    <t>Movie_172</t>
  </si>
  <si>
    <t>M1173</t>
  </si>
  <si>
    <t>Movie_173</t>
  </si>
  <si>
    <t>M1174</t>
  </si>
  <si>
    <t>Movie_174</t>
  </si>
  <si>
    <t>M1175</t>
  </si>
  <si>
    <t>Movie_175</t>
  </si>
  <si>
    <t>M1176</t>
  </si>
  <si>
    <t>Movie_176</t>
  </si>
  <si>
    <t>M1177</t>
  </si>
  <si>
    <t>Movie_177</t>
  </si>
  <si>
    <t>M1178</t>
  </si>
  <si>
    <t>Movie_178</t>
  </si>
  <si>
    <t>M1179</t>
  </si>
  <si>
    <t>Movie_179</t>
  </si>
  <si>
    <t>M1180</t>
  </si>
  <si>
    <t>Movie_180</t>
  </si>
  <si>
    <t>M1181</t>
  </si>
  <si>
    <t>Movie_181</t>
  </si>
  <si>
    <t>M1182</t>
  </si>
  <si>
    <t>Movie_182</t>
  </si>
  <si>
    <t>M1183</t>
  </si>
  <si>
    <t>Movie_183</t>
  </si>
  <si>
    <t>M1184</t>
  </si>
  <si>
    <t>Movie_184</t>
  </si>
  <si>
    <t>M1185</t>
  </si>
  <si>
    <t>Movie_185</t>
  </si>
  <si>
    <t>M1186</t>
  </si>
  <si>
    <t>Movie_186</t>
  </si>
  <si>
    <t>M1187</t>
  </si>
  <si>
    <t>Movie_187</t>
  </si>
  <si>
    <t>M1188</t>
  </si>
  <si>
    <t>Movie_188</t>
  </si>
  <si>
    <t>M1189</t>
  </si>
  <si>
    <t>Movie_189</t>
  </si>
  <si>
    <t>M1190</t>
  </si>
  <si>
    <t>Movie_190</t>
  </si>
  <si>
    <t>M1191</t>
  </si>
  <si>
    <t>Movie_191</t>
  </si>
  <si>
    <t>M1192</t>
  </si>
  <si>
    <t>Movie_192</t>
  </si>
  <si>
    <t>M1193</t>
  </si>
  <si>
    <t>Movie_193</t>
  </si>
  <si>
    <t>M1194</t>
  </si>
  <si>
    <t>Movie_194</t>
  </si>
  <si>
    <t>M1195</t>
  </si>
  <si>
    <t>Movie_195</t>
  </si>
  <si>
    <t>M1196</t>
  </si>
  <si>
    <t>Movie_196</t>
  </si>
  <si>
    <t>M1197</t>
  </si>
  <si>
    <t>Movie_197</t>
  </si>
  <si>
    <t>M1198</t>
  </si>
  <si>
    <t>Movie_198</t>
  </si>
  <si>
    <t>M1199</t>
  </si>
  <si>
    <t>Movie_199</t>
  </si>
  <si>
    <t>M1200</t>
  </si>
  <si>
    <t>Movie_200</t>
  </si>
  <si>
    <t>M1201</t>
  </si>
  <si>
    <t>Movie_201</t>
  </si>
  <si>
    <t>M1202</t>
  </si>
  <si>
    <t>Movie_202</t>
  </si>
  <si>
    <t>M1203</t>
  </si>
  <si>
    <t>Movie_203</t>
  </si>
  <si>
    <t>M1204</t>
  </si>
  <si>
    <t>Movie_204</t>
  </si>
  <si>
    <t>M1205</t>
  </si>
  <si>
    <t>Movie_205</t>
  </si>
  <si>
    <t>M1206</t>
  </si>
  <si>
    <t>Movie_206</t>
  </si>
  <si>
    <t>M1207</t>
  </si>
  <si>
    <t>Movie_207</t>
  </si>
  <si>
    <t>M1208</t>
  </si>
  <si>
    <t>Movie_208</t>
  </si>
  <si>
    <t>M1209</t>
  </si>
  <si>
    <t>Movie_209</t>
  </si>
  <si>
    <t>M1210</t>
  </si>
  <si>
    <t>Movie_210</t>
  </si>
  <si>
    <t>M1211</t>
  </si>
  <si>
    <t>Movie_211</t>
  </si>
  <si>
    <t>M1212</t>
  </si>
  <si>
    <t>Movie_212</t>
  </si>
  <si>
    <t>M1213</t>
  </si>
  <si>
    <t>Movie_213</t>
  </si>
  <si>
    <t>M1214</t>
  </si>
  <si>
    <t>Movie_214</t>
  </si>
  <si>
    <t>M1215</t>
  </si>
  <si>
    <t>Movie_215</t>
  </si>
  <si>
    <t>M1216</t>
  </si>
  <si>
    <t>Movie_216</t>
  </si>
  <si>
    <t>M1217</t>
  </si>
  <si>
    <t>Movie_217</t>
  </si>
  <si>
    <t>M1218</t>
  </si>
  <si>
    <t>Movie_218</t>
  </si>
  <si>
    <t>M1219</t>
  </si>
  <si>
    <t>Movie_219</t>
  </si>
  <si>
    <t>M1220</t>
  </si>
  <si>
    <t>Movie_220</t>
  </si>
  <si>
    <t>M1221</t>
  </si>
  <si>
    <t>Movie_221</t>
  </si>
  <si>
    <t>M1222</t>
  </si>
  <si>
    <t>Movie_222</t>
  </si>
  <si>
    <t>M1223</t>
  </si>
  <si>
    <t>Movie_223</t>
  </si>
  <si>
    <t>M1224</t>
  </si>
  <si>
    <t>Movie_224</t>
  </si>
  <si>
    <t>M1225</t>
  </si>
  <si>
    <t>Movie_225</t>
  </si>
  <si>
    <t>M1226</t>
  </si>
  <si>
    <t>Movie_226</t>
  </si>
  <si>
    <t>M1227</t>
  </si>
  <si>
    <t>Movie_227</t>
  </si>
  <si>
    <t>M1228</t>
  </si>
  <si>
    <t>Movie_228</t>
  </si>
  <si>
    <t>M1229</t>
  </si>
  <si>
    <t>Movie_229</t>
  </si>
  <si>
    <t>M1230</t>
  </si>
  <si>
    <t>Movie_230</t>
  </si>
  <si>
    <t>M1231</t>
  </si>
  <si>
    <t>Movie_231</t>
  </si>
  <si>
    <t>M1232</t>
  </si>
  <si>
    <t>Movie_232</t>
  </si>
  <si>
    <t>M1233</t>
  </si>
  <si>
    <t>Movie_233</t>
  </si>
  <si>
    <t>M1234</t>
  </si>
  <si>
    <t>Movie_234</t>
  </si>
  <si>
    <t>M1235</t>
  </si>
  <si>
    <t>Movie_235</t>
  </si>
  <si>
    <t>M1236</t>
  </si>
  <si>
    <t>Movie_236</t>
  </si>
  <si>
    <t>M1237</t>
  </si>
  <si>
    <t>Movie_237</t>
  </si>
  <si>
    <t>M1238</t>
  </si>
  <si>
    <t>Movie_238</t>
  </si>
  <si>
    <t>M1239</t>
  </si>
  <si>
    <t>Movie_239</t>
  </si>
  <si>
    <t>M1240</t>
  </si>
  <si>
    <t>Movie_240</t>
  </si>
  <si>
    <t>M1241</t>
  </si>
  <si>
    <t>Movie_241</t>
  </si>
  <si>
    <t>M1242</t>
  </si>
  <si>
    <t>Movie_242</t>
  </si>
  <si>
    <t>M1243</t>
  </si>
  <si>
    <t>Movie_243</t>
  </si>
  <si>
    <t>M1244</t>
  </si>
  <si>
    <t>Movie_244</t>
  </si>
  <si>
    <t>M1245</t>
  </si>
  <si>
    <t>Movie_245</t>
  </si>
  <si>
    <t>M1246</t>
  </si>
  <si>
    <t>Movie_246</t>
  </si>
  <si>
    <t>M1247</t>
  </si>
  <si>
    <t>Movie_247</t>
  </si>
  <si>
    <t>M1248</t>
  </si>
  <si>
    <t>Movie_248</t>
  </si>
  <si>
    <t>M1249</t>
  </si>
  <si>
    <t>Movie_249</t>
  </si>
  <si>
    <t>M1250</t>
  </si>
  <si>
    <t>Movie_250</t>
  </si>
  <si>
    <t>M1251</t>
  </si>
  <si>
    <t>Movie_251</t>
  </si>
  <si>
    <t>M1252</t>
  </si>
  <si>
    <t>Movie_252</t>
  </si>
  <si>
    <t>M1253</t>
  </si>
  <si>
    <t>Movie_253</t>
  </si>
  <si>
    <t>M1254</t>
  </si>
  <si>
    <t>Movie_254</t>
  </si>
  <si>
    <t>M1255</t>
  </si>
  <si>
    <t>Movie_255</t>
  </si>
  <si>
    <t>M1256</t>
  </si>
  <si>
    <t>Movie_256</t>
  </si>
  <si>
    <t>M1257</t>
  </si>
  <si>
    <t>Movie_257</t>
  </si>
  <si>
    <t>M1258</t>
  </si>
  <si>
    <t>Movie_258</t>
  </si>
  <si>
    <t>M1259</t>
  </si>
  <si>
    <t>Movie_259</t>
  </si>
  <si>
    <t>M1260</t>
  </si>
  <si>
    <t>Movie_260</t>
  </si>
  <si>
    <t>M1261</t>
  </si>
  <si>
    <t>Movie_261</t>
  </si>
  <si>
    <t>M1262</t>
  </si>
  <si>
    <t>Movie_262</t>
  </si>
  <si>
    <t>M1263</t>
  </si>
  <si>
    <t>Movie_263</t>
  </si>
  <si>
    <t>M1264</t>
  </si>
  <si>
    <t>Movie_264</t>
  </si>
  <si>
    <t>M1265</t>
  </si>
  <si>
    <t>Movie_265</t>
  </si>
  <si>
    <t>M1266</t>
  </si>
  <si>
    <t>Movie_266</t>
  </si>
  <si>
    <t>M1267</t>
  </si>
  <si>
    <t>Movie_267</t>
  </si>
  <si>
    <t>M1268</t>
  </si>
  <si>
    <t>Movie_268</t>
  </si>
  <si>
    <t>M1269</t>
  </si>
  <si>
    <t>Movie_269</t>
  </si>
  <si>
    <t>M1270</t>
  </si>
  <si>
    <t>Movie_270</t>
  </si>
  <si>
    <t>M1271</t>
  </si>
  <si>
    <t>Movie_271</t>
  </si>
  <si>
    <t>M1272</t>
  </si>
  <si>
    <t>Movie_272</t>
  </si>
  <si>
    <t>M1273</t>
  </si>
  <si>
    <t>Movie_273</t>
  </si>
  <si>
    <t>M1274</t>
  </si>
  <si>
    <t>Movie_274</t>
  </si>
  <si>
    <t>M1275</t>
  </si>
  <si>
    <t>Movie_275</t>
  </si>
  <si>
    <t>M1276</t>
  </si>
  <si>
    <t>Movie_276</t>
  </si>
  <si>
    <t>M1277</t>
  </si>
  <si>
    <t>Movie_277</t>
  </si>
  <si>
    <t>M1278</t>
  </si>
  <si>
    <t>Movie_278</t>
  </si>
  <si>
    <t>M1279</t>
  </si>
  <si>
    <t>Movie_279</t>
  </si>
  <si>
    <t>M1280</t>
  </si>
  <si>
    <t>Movie_280</t>
  </si>
  <si>
    <t>M1281</t>
  </si>
  <si>
    <t>Movie_281</t>
  </si>
  <si>
    <t>M1282</t>
  </si>
  <si>
    <t>Movie_282</t>
  </si>
  <si>
    <t>M1283</t>
  </si>
  <si>
    <t>Movie_283</t>
  </si>
  <si>
    <t>M1284</t>
  </si>
  <si>
    <t>Movie_284</t>
  </si>
  <si>
    <t>M1285</t>
  </si>
  <si>
    <t>Movie_285</t>
  </si>
  <si>
    <t>M1286</t>
  </si>
  <si>
    <t>Movie_286</t>
  </si>
  <si>
    <t>M1287</t>
  </si>
  <si>
    <t>Movie_287</t>
  </si>
  <si>
    <t>M1288</t>
  </si>
  <si>
    <t>Movie_288</t>
  </si>
  <si>
    <t>M1289</t>
  </si>
  <si>
    <t>Movie_289</t>
  </si>
  <si>
    <t>M1290</t>
  </si>
  <si>
    <t>Movie_290</t>
  </si>
  <si>
    <t>M1291</t>
  </si>
  <si>
    <t>Movie_291</t>
  </si>
  <si>
    <t>M1292</t>
  </si>
  <si>
    <t>Movie_292</t>
  </si>
  <si>
    <t>M1293</t>
  </si>
  <si>
    <t>Movie_293</t>
  </si>
  <si>
    <t>M1294</t>
  </si>
  <si>
    <t>Movie_294</t>
  </si>
  <si>
    <t>M1295</t>
  </si>
  <si>
    <t>Movie_295</t>
  </si>
  <si>
    <t>M1296</t>
  </si>
  <si>
    <t>Movie_296</t>
  </si>
  <si>
    <t>M1297</t>
  </si>
  <si>
    <t>Movie_297</t>
  </si>
  <si>
    <t>M1298</t>
  </si>
  <si>
    <t>Movie_298</t>
  </si>
  <si>
    <t>M1299</t>
  </si>
  <si>
    <t>Movie_299</t>
  </si>
  <si>
    <t>M1300</t>
  </si>
  <si>
    <t>Movie_300</t>
  </si>
  <si>
    <t>M1301</t>
  </si>
  <si>
    <t>Movie_301</t>
  </si>
  <si>
    <t>M1302</t>
  </si>
  <si>
    <t>Movie_302</t>
  </si>
  <si>
    <t>M1303</t>
  </si>
  <si>
    <t>Movie_303</t>
  </si>
  <si>
    <t>M1304</t>
  </si>
  <si>
    <t>Movie_304</t>
  </si>
  <si>
    <t>M1305</t>
  </si>
  <si>
    <t>Movie_305</t>
  </si>
  <si>
    <t>M1306</t>
  </si>
  <si>
    <t>Movie_306</t>
  </si>
  <si>
    <t>M1307</t>
  </si>
  <si>
    <t>Movie_307</t>
  </si>
  <si>
    <t>M1308</t>
  </si>
  <si>
    <t>Movie_308</t>
  </si>
  <si>
    <t>M1309</t>
  </si>
  <si>
    <t>Movie_309</t>
  </si>
  <si>
    <t>M1310</t>
  </si>
  <si>
    <t>Movie_310</t>
  </si>
  <si>
    <t>M1311</t>
  </si>
  <si>
    <t>Movie_311</t>
  </si>
  <si>
    <t>M1312</t>
  </si>
  <si>
    <t>Movie_312</t>
  </si>
  <si>
    <t>M1313</t>
  </si>
  <si>
    <t>Movie_313</t>
  </si>
  <si>
    <t>M1314</t>
  </si>
  <si>
    <t>Movie_314</t>
  </si>
  <si>
    <t>M1315</t>
  </si>
  <si>
    <t>Movie_315</t>
  </si>
  <si>
    <t>M1316</t>
  </si>
  <si>
    <t>Movie_316</t>
  </si>
  <si>
    <t>M1317</t>
  </si>
  <si>
    <t>Movie_317</t>
  </si>
  <si>
    <t>M1318</t>
  </si>
  <si>
    <t>Movie_318</t>
  </si>
  <si>
    <t>M1319</t>
  </si>
  <si>
    <t>Movie_319</t>
  </si>
  <si>
    <t>M1320</t>
  </si>
  <si>
    <t>Movie_320</t>
  </si>
  <si>
    <t>M1321</t>
  </si>
  <si>
    <t>Movie_321</t>
  </si>
  <si>
    <t>M1322</t>
  </si>
  <si>
    <t>Movie_322</t>
  </si>
  <si>
    <t>M1323</t>
  </si>
  <si>
    <t>Movie_323</t>
  </si>
  <si>
    <t>M1324</t>
  </si>
  <si>
    <t>Movie_324</t>
  </si>
  <si>
    <t>M1325</t>
  </si>
  <si>
    <t>Movie_325</t>
  </si>
  <si>
    <t>M1326</t>
  </si>
  <si>
    <t>Movie_326</t>
  </si>
  <si>
    <t>M1327</t>
  </si>
  <si>
    <t>Movie_327</t>
  </si>
  <si>
    <t>M1328</t>
  </si>
  <si>
    <t>Movie_328</t>
  </si>
  <si>
    <t>M1329</t>
  </si>
  <si>
    <t>Movie_329</t>
  </si>
  <si>
    <t>M1330</t>
  </si>
  <si>
    <t>Movie_330</t>
  </si>
  <si>
    <t>M1331</t>
  </si>
  <si>
    <t>Movie_331</t>
  </si>
  <si>
    <t>M1332</t>
  </si>
  <si>
    <t>Movie_332</t>
  </si>
  <si>
    <t>M1333</t>
  </si>
  <si>
    <t>Movie_333</t>
  </si>
  <si>
    <t>M1334</t>
  </si>
  <si>
    <t>Movie_334</t>
  </si>
  <si>
    <t>M1335</t>
  </si>
  <si>
    <t>Movie_335</t>
  </si>
  <si>
    <t>M1336</t>
  </si>
  <si>
    <t>Movie_336</t>
  </si>
  <si>
    <t>M1337</t>
  </si>
  <si>
    <t>Movie_337</t>
  </si>
  <si>
    <t>M1338</t>
  </si>
  <si>
    <t>Movie_338</t>
  </si>
  <si>
    <t>M1339</t>
  </si>
  <si>
    <t>Movie_339</t>
  </si>
  <si>
    <t>M1340</t>
  </si>
  <si>
    <t>Movie_340</t>
  </si>
  <si>
    <t>M1341</t>
  </si>
  <si>
    <t>Movie_341</t>
  </si>
  <si>
    <t>M1342</t>
  </si>
  <si>
    <t>Movie_342</t>
  </si>
  <si>
    <t>M1343</t>
  </si>
  <si>
    <t>Movie_343</t>
  </si>
  <si>
    <t>M1344</t>
  </si>
  <si>
    <t>Movie_344</t>
  </si>
  <si>
    <t>M1345</t>
  </si>
  <si>
    <t>Movie_345</t>
  </si>
  <si>
    <t>M1346</t>
  </si>
  <si>
    <t>Movie_346</t>
  </si>
  <si>
    <t>M1347</t>
  </si>
  <si>
    <t>Movie_347</t>
  </si>
  <si>
    <t>M1348</t>
  </si>
  <si>
    <t>Movie_348</t>
  </si>
  <si>
    <t>M1349</t>
  </si>
  <si>
    <t>Movie_349</t>
  </si>
  <si>
    <t>M1350</t>
  </si>
  <si>
    <t>Movie_350</t>
  </si>
  <si>
    <t>M1351</t>
  </si>
  <si>
    <t>Movie_351</t>
  </si>
  <si>
    <t>M1352</t>
  </si>
  <si>
    <t>Movie_352</t>
  </si>
  <si>
    <t>M1353</t>
  </si>
  <si>
    <t>Movie_353</t>
  </si>
  <si>
    <t>M1354</t>
  </si>
  <si>
    <t>Movie_354</t>
  </si>
  <si>
    <t>M1355</t>
  </si>
  <si>
    <t>Movie_355</t>
  </si>
  <si>
    <t>M1356</t>
  </si>
  <si>
    <t>Movie_356</t>
  </si>
  <si>
    <t>M1357</t>
  </si>
  <si>
    <t>Movie_357</t>
  </si>
  <si>
    <t>M1358</t>
  </si>
  <si>
    <t>Movie_358</t>
  </si>
  <si>
    <t>M1359</t>
  </si>
  <si>
    <t>Movie_359</t>
  </si>
  <si>
    <t>M1360</t>
  </si>
  <si>
    <t>Movie_360</t>
  </si>
  <si>
    <t>M1361</t>
  </si>
  <si>
    <t>Movie_361</t>
  </si>
  <si>
    <t>M1362</t>
  </si>
  <si>
    <t>Movie_362</t>
  </si>
  <si>
    <t>M1363</t>
  </si>
  <si>
    <t>Movie_363</t>
  </si>
  <si>
    <t>M1364</t>
  </si>
  <si>
    <t>Movie_364</t>
  </si>
  <si>
    <t>M1365</t>
  </si>
  <si>
    <t>Movie_365</t>
  </si>
  <si>
    <t>M1366</t>
  </si>
  <si>
    <t>Movie_366</t>
  </si>
  <si>
    <t>M1367</t>
  </si>
  <si>
    <t>Movie_367</t>
  </si>
  <si>
    <t>M1368</t>
  </si>
  <si>
    <t>Movie_368</t>
  </si>
  <si>
    <t>M1369</t>
  </si>
  <si>
    <t>Movie_369</t>
  </si>
  <si>
    <t>M1370</t>
  </si>
  <si>
    <t>Movie_370</t>
  </si>
  <si>
    <t>M1371</t>
  </si>
  <si>
    <t>Movie_371</t>
  </si>
  <si>
    <t>M1372</t>
  </si>
  <si>
    <t>Movie_372</t>
  </si>
  <si>
    <t>M1373</t>
  </si>
  <si>
    <t>Movie_373</t>
  </si>
  <si>
    <t>M1374</t>
  </si>
  <si>
    <t>Movie_374</t>
  </si>
  <si>
    <t>M1375</t>
  </si>
  <si>
    <t>Movie_375</t>
  </si>
  <si>
    <t>M1376</t>
  </si>
  <si>
    <t>Movie_376</t>
  </si>
  <si>
    <t>M1377</t>
  </si>
  <si>
    <t>Movie_377</t>
  </si>
  <si>
    <t>M1378</t>
  </si>
  <si>
    <t>Movie_378</t>
  </si>
  <si>
    <t>M1379</t>
  </si>
  <si>
    <t>Movie_379</t>
  </si>
  <si>
    <t>M1380</t>
  </si>
  <si>
    <t>Movie_380</t>
  </si>
  <si>
    <t>M1381</t>
  </si>
  <si>
    <t>Movie_381</t>
  </si>
  <si>
    <t>M1382</t>
  </si>
  <si>
    <t>Movie_382</t>
  </si>
  <si>
    <t>M1383</t>
  </si>
  <si>
    <t>Movie_383</t>
  </si>
  <si>
    <t>M1384</t>
  </si>
  <si>
    <t>Movie_384</t>
  </si>
  <si>
    <t>M1385</t>
  </si>
  <si>
    <t>Movie_385</t>
  </si>
  <si>
    <t>M1386</t>
  </si>
  <si>
    <t>Movie_386</t>
  </si>
  <si>
    <t>M1387</t>
  </si>
  <si>
    <t>Movie_387</t>
  </si>
  <si>
    <t>M1388</t>
  </si>
  <si>
    <t>Movie_388</t>
  </si>
  <si>
    <t>M1389</t>
  </si>
  <si>
    <t>Movie_389</t>
  </si>
  <si>
    <t>M1390</t>
  </si>
  <si>
    <t>Movie_390</t>
  </si>
  <si>
    <t>M1391</t>
  </si>
  <si>
    <t>Movie_391</t>
  </si>
  <si>
    <t>M1392</t>
  </si>
  <si>
    <t>Movie_392</t>
  </si>
  <si>
    <t>M1393</t>
  </si>
  <si>
    <t>Movie_393</t>
  </si>
  <si>
    <t>M1394</t>
  </si>
  <si>
    <t>Movie_394</t>
  </si>
  <si>
    <t>M1395</t>
  </si>
  <si>
    <t>Movie_395</t>
  </si>
  <si>
    <t>M1396</t>
  </si>
  <si>
    <t>Movie_396</t>
  </si>
  <si>
    <t>M1397</t>
  </si>
  <si>
    <t>Movie_397</t>
  </si>
  <si>
    <t>M1398</t>
  </si>
  <si>
    <t>Movie_398</t>
  </si>
  <si>
    <t>M1399</t>
  </si>
  <si>
    <t>Movie_399</t>
  </si>
  <si>
    <t>M1400</t>
  </si>
  <si>
    <t>Movie_400</t>
  </si>
  <si>
    <t>M1401</t>
  </si>
  <si>
    <t>Movie_401</t>
  </si>
  <si>
    <t>M1402</t>
  </si>
  <si>
    <t>Movie_402</t>
  </si>
  <si>
    <t>M1403</t>
  </si>
  <si>
    <t>Movie_403</t>
  </si>
  <si>
    <t>M1404</t>
  </si>
  <si>
    <t>Movie_404</t>
  </si>
  <si>
    <t>M1405</t>
  </si>
  <si>
    <t>Movie_405</t>
  </si>
  <si>
    <t>M1406</t>
  </si>
  <si>
    <t>Movie_406</t>
  </si>
  <si>
    <t>M1407</t>
  </si>
  <si>
    <t>Movie_407</t>
  </si>
  <si>
    <t>M1408</t>
  </si>
  <si>
    <t>Movie_408</t>
  </si>
  <si>
    <t>M1409</t>
  </si>
  <si>
    <t>Movie_409</t>
  </si>
  <si>
    <t>M1410</t>
  </si>
  <si>
    <t>Movie_410</t>
  </si>
  <si>
    <t>M1411</t>
  </si>
  <si>
    <t>Movie_411</t>
  </si>
  <si>
    <t>M1412</t>
  </si>
  <si>
    <t>Movie_412</t>
  </si>
  <si>
    <t>M1413</t>
  </si>
  <si>
    <t>Movie_413</t>
  </si>
  <si>
    <t>M1414</t>
  </si>
  <si>
    <t>Movie_414</t>
  </si>
  <si>
    <t>M1415</t>
  </si>
  <si>
    <t>Movie_415</t>
  </si>
  <si>
    <t>M1416</t>
  </si>
  <si>
    <t>Movie_416</t>
  </si>
  <si>
    <t>M1417</t>
  </si>
  <si>
    <t>Movie_417</t>
  </si>
  <si>
    <t>M1418</t>
  </si>
  <si>
    <t>Movie_418</t>
  </si>
  <si>
    <t>M1419</t>
  </si>
  <si>
    <t>Movie_419</t>
  </si>
  <si>
    <t>M1420</t>
  </si>
  <si>
    <t>Movie_420</t>
  </si>
  <si>
    <t>M1421</t>
  </si>
  <si>
    <t>Movie_421</t>
  </si>
  <si>
    <t>M1422</t>
  </si>
  <si>
    <t>Movie_422</t>
  </si>
  <si>
    <t>M1423</t>
  </si>
  <si>
    <t>Movie_423</t>
  </si>
  <si>
    <t>M1424</t>
  </si>
  <si>
    <t>Movie_424</t>
  </si>
  <si>
    <t>M1425</t>
  </si>
  <si>
    <t>Movie_425</t>
  </si>
  <si>
    <t>M1426</t>
  </si>
  <si>
    <t>Movie_426</t>
  </si>
  <si>
    <t>M1427</t>
  </si>
  <si>
    <t>Movie_427</t>
  </si>
  <si>
    <t>M1428</t>
  </si>
  <si>
    <t>Movie_428</t>
  </si>
  <si>
    <t>M1429</t>
  </si>
  <si>
    <t>Movie_429</t>
  </si>
  <si>
    <t>M1430</t>
  </si>
  <si>
    <t>Movie_430</t>
  </si>
  <si>
    <t>M1431</t>
  </si>
  <si>
    <t>Movie_431</t>
  </si>
  <si>
    <t>M1432</t>
  </si>
  <si>
    <t>Movie_432</t>
  </si>
  <si>
    <t>M1433</t>
  </si>
  <si>
    <t>Movie_433</t>
  </si>
  <si>
    <t>M1434</t>
  </si>
  <si>
    <t>Movie_434</t>
  </si>
  <si>
    <t>M1435</t>
  </si>
  <si>
    <t>Movie_435</t>
  </si>
  <si>
    <t>M1436</t>
  </si>
  <si>
    <t>Movie_436</t>
  </si>
  <si>
    <t>M1437</t>
  </si>
  <si>
    <t>Movie_437</t>
  </si>
  <si>
    <t>M1438</t>
  </si>
  <si>
    <t>Movie_438</t>
  </si>
  <si>
    <t>M1439</t>
  </si>
  <si>
    <t>Movie_439</t>
  </si>
  <si>
    <t>M1440</t>
  </si>
  <si>
    <t>Movie_440</t>
  </si>
  <si>
    <t>M1441</t>
  </si>
  <si>
    <t>Movie_441</t>
  </si>
  <si>
    <t>M1442</t>
  </si>
  <si>
    <t>Movie_442</t>
  </si>
  <si>
    <t>M1443</t>
  </si>
  <si>
    <t>Movie_443</t>
  </si>
  <si>
    <t>M1444</t>
  </si>
  <si>
    <t>Movie_444</t>
  </si>
  <si>
    <t>M1445</t>
  </si>
  <si>
    <t>Movie_445</t>
  </si>
  <si>
    <t>M1446</t>
  </si>
  <si>
    <t>Movie_446</t>
  </si>
  <si>
    <t>M1447</t>
  </si>
  <si>
    <t>Movie_447</t>
  </si>
  <si>
    <t>M1448</t>
  </si>
  <si>
    <t>Movie_448</t>
  </si>
  <si>
    <t>M1449</t>
  </si>
  <si>
    <t>Movie_449</t>
  </si>
  <si>
    <t>M1450</t>
  </si>
  <si>
    <t>Movie_450</t>
  </si>
  <si>
    <t>M1451</t>
  </si>
  <si>
    <t>Movie_451</t>
  </si>
  <si>
    <t>M1452</t>
  </si>
  <si>
    <t>Movie_452</t>
  </si>
  <si>
    <t>M1453</t>
  </si>
  <si>
    <t>Movie_453</t>
  </si>
  <si>
    <t>M1454</t>
  </si>
  <si>
    <t>Movie_454</t>
  </si>
  <si>
    <t>M1455</t>
  </si>
  <si>
    <t>Movie_455</t>
  </si>
  <si>
    <t>M1456</t>
  </si>
  <si>
    <t>Movie_456</t>
  </si>
  <si>
    <t>M1457</t>
  </si>
  <si>
    <t>Movie_457</t>
  </si>
  <si>
    <t>M1458</t>
  </si>
  <si>
    <t>Movie_458</t>
  </si>
  <si>
    <t>M1459</t>
  </si>
  <si>
    <t>Movie_459</t>
  </si>
  <si>
    <t>M1460</t>
  </si>
  <si>
    <t>Movie_460</t>
  </si>
  <si>
    <t>M1461</t>
  </si>
  <si>
    <t>Movie_461</t>
  </si>
  <si>
    <t>M1462</t>
  </si>
  <si>
    <t>Movie_462</t>
  </si>
  <si>
    <t>M1463</t>
  </si>
  <si>
    <t>Movie_463</t>
  </si>
  <si>
    <t>M1464</t>
  </si>
  <si>
    <t>Movie_464</t>
  </si>
  <si>
    <t>M1465</t>
  </si>
  <si>
    <t>Movie_465</t>
  </si>
  <si>
    <t>M1466</t>
  </si>
  <si>
    <t>Movie_466</t>
  </si>
  <si>
    <t>M1467</t>
  </si>
  <si>
    <t>Movie_467</t>
  </si>
  <si>
    <t>M1468</t>
  </si>
  <si>
    <t>Movie_468</t>
  </si>
  <si>
    <t>M1469</t>
  </si>
  <si>
    <t>Movie_469</t>
  </si>
  <si>
    <t>M1470</t>
  </si>
  <si>
    <t>Movie_470</t>
  </si>
  <si>
    <t>M1471</t>
  </si>
  <si>
    <t>Movie_471</t>
  </si>
  <si>
    <t>M1472</t>
  </si>
  <si>
    <t>Movie_472</t>
  </si>
  <si>
    <t>M1473</t>
  </si>
  <si>
    <t>Movie_473</t>
  </si>
  <si>
    <t>M1474</t>
  </si>
  <si>
    <t>Movie_474</t>
  </si>
  <si>
    <t>M1475</t>
  </si>
  <si>
    <t>Movie_475</t>
  </si>
  <si>
    <t>M1476</t>
  </si>
  <si>
    <t>Movie_476</t>
  </si>
  <si>
    <t>M1477</t>
  </si>
  <si>
    <t>Movie_477</t>
  </si>
  <si>
    <t>M1478</t>
  </si>
  <si>
    <t>Movie_478</t>
  </si>
  <si>
    <t>M1479</t>
  </si>
  <si>
    <t>Movie_479</t>
  </si>
  <si>
    <t>M1480</t>
  </si>
  <si>
    <t>Movie_480</t>
  </si>
  <si>
    <t>M1481</t>
  </si>
  <si>
    <t>Movie_481</t>
  </si>
  <si>
    <t>M1482</t>
  </si>
  <si>
    <t>Movie_482</t>
  </si>
  <si>
    <t>M1483</t>
  </si>
  <si>
    <t>Movie_483</t>
  </si>
  <si>
    <t>M1484</t>
  </si>
  <si>
    <t>Movie_484</t>
  </si>
  <si>
    <t>M1485</t>
  </si>
  <si>
    <t>Movie_485</t>
  </si>
  <si>
    <t>M1486</t>
  </si>
  <si>
    <t>Movie_486</t>
  </si>
  <si>
    <t>M1487</t>
  </si>
  <si>
    <t>Movie_487</t>
  </si>
  <si>
    <t>M1488</t>
  </si>
  <si>
    <t>Movie_488</t>
  </si>
  <si>
    <t>M1489</t>
  </si>
  <si>
    <t>Movie_489</t>
  </si>
  <si>
    <t>M1490</t>
  </si>
  <si>
    <t>Movie_490</t>
  </si>
  <si>
    <t>M1491</t>
  </si>
  <si>
    <t>Movie_491</t>
  </si>
  <si>
    <t>M1492</t>
  </si>
  <si>
    <t>Movie_492</t>
  </si>
  <si>
    <t>M1493</t>
  </si>
  <si>
    <t>Movie_493</t>
  </si>
  <si>
    <t>M1494</t>
  </si>
  <si>
    <t>Movie_494</t>
  </si>
  <si>
    <t>M1495</t>
  </si>
  <si>
    <t>Movie_495</t>
  </si>
  <si>
    <t>M1496</t>
  </si>
  <si>
    <t>Movie_496</t>
  </si>
  <si>
    <t>M1497</t>
  </si>
  <si>
    <t>Movie_497</t>
  </si>
  <si>
    <t>M1498</t>
  </si>
  <si>
    <t>Movie_498</t>
  </si>
  <si>
    <t>M1499</t>
  </si>
  <si>
    <t>Movie_499</t>
  </si>
  <si>
    <t>1Q</t>
  </si>
  <si>
    <t>2Q</t>
  </si>
  <si>
    <t>4Q</t>
  </si>
  <si>
    <t>3Q</t>
  </si>
  <si>
    <t>5Q</t>
  </si>
  <si>
    <t>Q.NO</t>
  </si>
  <si>
    <t>ANSWERS</t>
  </si>
  <si>
    <t>Longest Movie</t>
  </si>
  <si>
    <t xml:space="preserve">Shortest </t>
  </si>
  <si>
    <t>6Q</t>
  </si>
  <si>
    <t>Roundup</t>
  </si>
  <si>
    <t>Round down</t>
  </si>
  <si>
    <t>7Q</t>
  </si>
  <si>
    <t>Column1</t>
  </si>
  <si>
    <t>Column2</t>
  </si>
  <si>
    <t>8Q</t>
  </si>
  <si>
    <t>9Q</t>
  </si>
  <si>
    <t>10Q</t>
  </si>
  <si>
    <t>11Q</t>
  </si>
  <si>
    <t>12Q</t>
  </si>
  <si>
    <t>13Q</t>
  </si>
  <si>
    <t>14Q</t>
  </si>
  <si>
    <t>15Q</t>
  </si>
  <si>
    <t>16Q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</si>
</sst>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164" fontId="5" fillId="0" borderId="0" xfId="0" applyNumberFormat="1" applyFont="1"/>
    <xf numFmtId="0" fontId="2" fillId="0" borderId="0" xfId="0" applyFont="1"/>
    <xf numFmtId="2" fontId="0" fillId="0" borderId="0" xfId="0" applyNumberFormat="1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529B2E-2833-417F-BC7B-1A6AE77E4C78}" name="Table2" displayName="Table2" ref="E1:N502" totalsRowShown="0">
  <autoFilter ref="E1:N502" xr:uid="{B0529B2E-2833-417F-BC7B-1A6AE77E4C78}"/>
  <tableColumns count="10">
    <tableColumn id="1" xr3:uid="{AA1FED8D-D225-4CEC-A384-8216284AA0E3}" name="7Q" dataDxfId="8">
      <calculatedColumnFormula>IF(Sheet1!D2&gt;120,"Long","Short")</calculatedColumnFormula>
    </tableColumn>
    <tableColumn id="2" xr3:uid="{5D6587DF-8E22-4A61-86CA-EA098AF15477}" name="8Q" dataDxfId="7">
      <calculatedColumnFormula>_xlfn.CONCAT(Sheet1!A2," -",Sheet1!B2)</calculatedColumnFormula>
    </tableColumn>
    <tableColumn id="3" xr3:uid="{E2CD8D6E-64C0-43C4-B68A-B425ABA98162}" name="9Q" dataDxfId="6">
      <calculatedColumnFormula>LEFT(Sheet1!F2,3)</calculatedColumnFormula>
    </tableColumn>
    <tableColumn id="4" xr3:uid="{55AD5E0F-5B0E-4A4E-850B-29BCFCA19B41}" name="10Q" dataDxfId="5">
      <calculatedColumnFormula>RIGHT(Sheet1!G2,2)</calculatedColumnFormula>
    </tableColumn>
    <tableColumn id="5" xr3:uid="{D4E60298-D2B9-4020-BC8F-E41D146086AA}" name="11Q" dataDxfId="4">
      <calculatedColumnFormula>LEN(Sheet1!B2)</calculatedColumnFormula>
    </tableColumn>
    <tableColumn id="6" xr3:uid="{EFBB14EF-33D5-44DF-B739-ABA123C36B57}" name="12Q" dataDxfId="3">
      <calculatedColumnFormula>TRIM(Sheet1!C2)</calculatedColumnFormula>
    </tableColumn>
    <tableColumn id="7" xr3:uid="{3EE346CA-0D7D-4E9A-95B0-8DAB781779EA}" name="14Q" dataDxfId="2">
      <calculatedColumnFormula>VLOOKUP(Sheet1!A2,Sheet1!A2:I501,3,0)</calculatedColumnFormula>
    </tableColumn>
    <tableColumn id="9" xr3:uid="{71236B45-C365-455C-8D38-317FA629CC13}" name="16Q" dataDxfId="1">
      <calculatedColumnFormula>VLOOKUP(Sheet1!B2,Sheet1!B2:I501,3,0)</calculatedColumnFormula>
    </tableColumn>
    <tableColumn id="10" xr3:uid="{CE8EA846-1454-4B2B-8FA8-B3570474A8EB}" name="Column2"/>
    <tableColumn id="8" xr3:uid="{682A1FBA-EBBB-4DF1-90A5-26BF667F84F3}" name="15Q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E4FA10-B7FC-4B35-B054-56A626A8836C}" name="Table3" displayName="Table3" ref="A1:C12" totalsRowShown="0">
  <autoFilter ref="A1:C12" xr:uid="{D6E4FA10-B7FC-4B35-B054-56A626A8836C}"/>
  <tableColumns count="3">
    <tableColumn id="1" xr3:uid="{78DAD389-C50F-4781-BCF9-9FA6C4F501FA}" name="Q.NO" dataDxfId="0"/>
    <tableColumn id="2" xr3:uid="{30AB2BA0-8DD8-4B39-93A6-AFBBEF0EBDF7}" name="ANSWERS"/>
    <tableColumn id="3" xr3:uid="{6FC472DF-70CD-4F25-BED4-943C320EEAB9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opLeftCell="A482" workbookViewId="0">
      <selection activeCell="B2" sqref="B2"/>
    </sheetView>
  </sheetViews>
  <sheetFormatPr defaultColWidth="14.42578125" defaultRowHeight="15" customHeight="1" x14ac:dyDescent="0.25"/>
  <cols>
    <col min="1" max="1" width="8.7109375" customWidth="1"/>
    <col min="2" max="2" width="16.28515625" customWidth="1"/>
    <col min="3" max="3" width="16.42578125" customWidth="1"/>
    <col min="4" max="4" width="22.5703125" customWidth="1"/>
    <col min="5" max="5" width="8.7109375" customWidth="1"/>
    <col min="6" max="6" width="21" customWidth="1"/>
    <col min="7" max="7" width="20.28515625" customWidth="1"/>
    <col min="8" max="8" width="14.7109375" customWidth="1"/>
    <col min="9" max="9" width="20" customWidth="1"/>
    <col min="10" max="26" width="8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>
        <v>87</v>
      </c>
      <c r="E2" s="2">
        <v>8.5</v>
      </c>
      <c r="F2" s="2" t="s">
        <v>12</v>
      </c>
      <c r="G2" s="2">
        <v>1995</v>
      </c>
      <c r="H2" s="2" t="s">
        <v>13</v>
      </c>
      <c r="I2" s="3">
        <v>44369</v>
      </c>
    </row>
    <row r="3" spans="1:9" x14ac:dyDescent="0.25">
      <c r="A3" s="2" t="s">
        <v>14</v>
      </c>
      <c r="B3" s="2" t="s">
        <v>15</v>
      </c>
      <c r="C3" s="2" t="s">
        <v>16</v>
      </c>
      <c r="D3" s="2">
        <v>157</v>
      </c>
      <c r="E3" s="2">
        <v>9.8000000000000007</v>
      </c>
      <c r="F3" s="2" t="s">
        <v>17</v>
      </c>
      <c r="G3" s="2">
        <v>2023</v>
      </c>
      <c r="H3" s="2" t="s">
        <v>18</v>
      </c>
      <c r="I3" s="3">
        <v>44544</v>
      </c>
    </row>
    <row r="4" spans="1:9" x14ac:dyDescent="0.25">
      <c r="A4" s="2" t="s">
        <v>19</v>
      </c>
      <c r="B4" s="2" t="s">
        <v>20</v>
      </c>
      <c r="C4" s="2" t="s">
        <v>16</v>
      </c>
      <c r="D4" s="2">
        <v>69</v>
      </c>
      <c r="E4" s="2">
        <v>3.2</v>
      </c>
      <c r="F4" s="2" t="s">
        <v>21</v>
      </c>
      <c r="G4" s="2">
        <v>2005</v>
      </c>
      <c r="H4" s="2" t="s">
        <v>18</v>
      </c>
      <c r="I4" s="3">
        <v>45503</v>
      </c>
    </row>
    <row r="5" spans="1:9" x14ac:dyDescent="0.25">
      <c r="A5" s="2" t="s">
        <v>22</v>
      </c>
      <c r="B5" s="2" t="s">
        <v>23</v>
      </c>
      <c r="C5" s="2" t="s">
        <v>11</v>
      </c>
      <c r="D5" s="2">
        <v>180</v>
      </c>
      <c r="E5" s="2">
        <v>6</v>
      </c>
      <c r="F5" s="2" t="s">
        <v>24</v>
      </c>
      <c r="G5" s="2">
        <v>1999</v>
      </c>
      <c r="H5" s="2" t="s">
        <v>13</v>
      </c>
      <c r="I5" s="3">
        <v>44009</v>
      </c>
    </row>
    <row r="6" spans="1:9" x14ac:dyDescent="0.25">
      <c r="A6" s="2" t="s">
        <v>25</v>
      </c>
      <c r="B6" s="2" t="s">
        <v>26</v>
      </c>
      <c r="C6" s="2" t="s">
        <v>27</v>
      </c>
      <c r="D6" s="2">
        <v>116</v>
      </c>
      <c r="E6" s="2">
        <v>4.5</v>
      </c>
      <c r="F6" s="2" t="s">
        <v>28</v>
      </c>
      <c r="G6" s="2">
        <v>2009</v>
      </c>
      <c r="H6" s="2" t="s">
        <v>18</v>
      </c>
      <c r="I6" s="3">
        <v>44730</v>
      </c>
    </row>
    <row r="7" spans="1:9" x14ac:dyDescent="0.25">
      <c r="A7" s="2" t="s">
        <v>29</v>
      </c>
      <c r="B7" s="2" t="s">
        <v>30</v>
      </c>
      <c r="C7" s="2" t="s">
        <v>31</v>
      </c>
      <c r="D7" s="2">
        <v>111</v>
      </c>
      <c r="E7" s="2">
        <v>9.3000000000000007</v>
      </c>
      <c r="F7" s="2" t="s">
        <v>17</v>
      </c>
      <c r="G7" s="2">
        <v>1984</v>
      </c>
      <c r="H7" s="2" t="s">
        <v>13</v>
      </c>
      <c r="I7" s="3">
        <v>44071</v>
      </c>
    </row>
    <row r="8" spans="1:9" x14ac:dyDescent="0.25">
      <c r="A8" s="2" t="s">
        <v>32</v>
      </c>
      <c r="B8" s="2" t="s">
        <v>33</v>
      </c>
      <c r="C8" s="2" t="s">
        <v>31</v>
      </c>
      <c r="D8" s="2">
        <v>177</v>
      </c>
      <c r="E8" s="2">
        <v>5.6</v>
      </c>
      <c r="F8" s="2" t="s">
        <v>12</v>
      </c>
      <c r="G8" s="2">
        <v>2024</v>
      </c>
      <c r="H8" s="2" t="s">
        <v>13</v>
      </c>
      <c r="I8" s="3">
        <v>45419</v>
      </c>
    </row>
    <row r="9" spans="1:9" x14ac:dyDescent="0.25">
      <c r="A9" s="2" t="s">
        <v>34</v>
      </c>
      <c r="B9" s="2" t="s">
        <v>35</v>
      </c>
      <c r="C9" s="2" t="s">
        <v>31</v>
      </c>
      <c r="D9" s="2">
        <v>149</v>
      </c>
      <c r="E9" s="2">
        <v>8.9</v>
      </c>
      <c r="F9" s="2" t="s">
        <v>21</v>
      </c>
      <c r="G9" s="2">
        <v>1983</v>
      </c>
      <c r="H9" s="2" t="s">
        <v>13</v>
      </c>
      <c r="I9" s="3">
        <v>45493</v>
      </c>
    </row>
    <row r="10" spans="1:9" x14ac:dyDescent="0.25">
      <c r="A10" s="2" t="s">
        <v>36</v>
      </c>
      <c r="B10" s="2" t="s">
        <v>37</v>
      </c>
      <c r="C10" s="2" t="s">
        <v>11</v>
      </c>
      <c r="D10" s="2">
        <v>138</v>
      </c>
      <c r="E10" s="2">
        <v>8.8000000000000007</v>
      </c>
      <c r="F10" s="2" t="s">
        <v>24</v>
      </c>
      <c r="G10" s="2">
        <v>1990</v>
      </c>
      <c r="H10" s="2" t="s">
        <v>18</v>
      </c>
      <c r="I10" s="3">
        <v>44316</v>
      </c>
    </row>
    <row r="11" spans="1:9" x14ac:dyDescent="0.25">
      <c r="A11" s="2" t="s">
        <v>38</v>
      </c>
      <c r="B11" s="2" t="s">
        <v>39</v>
      </c>
      <c r="C11" s="2" t="s">
        <v>16</v>
      </c>
      <c r="D11" s="2">
        <v>118</v>
      </c>
      <c r="E11" s="2">
        <v>3.5</v>
      </c>
      <c r="F11" s="2" t="s">
        <v>24</v>
      </c>
      <c r="G11" s="2">
        <v>2008</v>
      </c>
      <c r="H11" s="2" t="s">
        <v>13</v>
      </c>
      <c r="I11" s="3">
        <v>44260</v>
      </c>
    </row>
    <row r="12" spans="1:9" x14ac:dyDescent="0.25">
      <c r="A12" s="2" t="s">
        <v>40</v>
      </c>
      <c r="B12" s="2" t="s">
        <v>41</v>
      </c>
      <c r="C12" s="2" t="s">
        <v>11</v>
      </c>
      <c r="D12" s="2">
        <v>117</v>
      </c>
      <c r="E12" s="2">
        <v>8.1</v>
      </c>
      <c r="F12" s="2" t="s">
        <v>12</v>
      </c>
      <c r="G12" s="2">
        <v>2006</v>
      </c>
      <c r="H12" s="2" t="s">
        <v>13</v>
      </c>
      <c r="I12" s="3">
        <v>45491</v>
      </c>
    </row>
    <row r="13" spans="1:9" x14ac:dyDescent="0.25">
      <c r="A13" s="2" t="s">
        <v>42</v>
      </c>
      <c r="B13" s="2" t="s">
        <v>43</v>
      </c>
      <c r="C13" s="2" t="s">
        <v>11</v>
      </c>
      <c r="D13" s="2">
        <v>66</v>
      </c>
      <c r="E13" s="2">
        <v>4.7</v>
      </c>
      <c r="F13" s="2" t="s">
        <v>12</v>
      </c>
      <c r="G13" s="2">
        <v>2010</v>
      </c>
      <c r="H13" s="2" t="s">
        <v>13</v>
      </c>
      <c r="I13" s="3">
        <v>45341</v>
      </c>
    </row>
    <row r="14" spans="1:9" x14ac:dyDescent="0.25">
      <c r="A14" s="2" t="s">
        <v>44</v>
      </c>
      <c r="B14" s="2" t="s">
        <v>45</v>
      </c>
      <c r="C14" s="2" t="s">
        <v>46</v>
      </c>
      <c r="D14" s="2">
        <v>109</v>
      </c>
      <c r="E14" s="2">
        <v>9.4</v>
      </c>
      <c r="F14" s="2" t="s">
        <v>12</v>
      </c>
      <c r="G14" s="2">
        <v>2009</v>
      </c>
      <c r="H14" s="2" t="s">
        <v>13</v>
      </c>
      <c r="I14" s="3">
        <v>45035</v>
      </c>
    </row>
    <row r="15" spans="1:9" x14ac:dyDescent="0.25">
      <c r="A15" s="2" t="s">
        <v>47</v>
      </c>
      <c r="B15" s="2" t="s">
        <v>48</v>
      </c>
      <c r="C15" s="2" t="s">
        <v>16</v>
      </c>
      <c r="D15" s="2">
        <v>162</v>
      </c>
      <c r="E15" s="2">
        <v>5.6</v>
      </c>
      <c r="F15" s="2" t="s">
        <v>49</v>
      </c>
      <c r="G15" s="2">
        <v>1993</v>
      </c>
      <c r="H15" s="2" t="s">
        <v>13</v>
      </c>
      <c r="I15" s="3">
        <v>45242</v>
      </c>
    </row>
    <row r="16" spans="1:9" x14ac:dyDescent="0.25">
      <c r="A16" s="2" t="s">
        <v>50</v>
      </c>
      <c r="B16" s="2" t="s">
        <v>51</v>
      </c>
      <c r="C16" s="2" t="s">
        <v>46</v>
      </c>
      <c r="D16" s="2">
        <v>144</v>
      </c>
      <c r="E16" s="2">
        <v>8.4</v>
      </c>
      <c r="F16" s="2" t="s">
        <v>21</v>
      </c>
      <c r="G16" s="2">
        <v>2001</v>
      </c>
      <c r="H16" s="2" t="s">
        <v>13</v>
      </c>
      <c r="I16" s="3">
        <v>44549</v>
      </c>
    </row>
    <row r="17" spans="1:9" x14ac:dyDescent="0.25">
      <c r="A17" s="2" t="s">
        <v>52</v>
      </c>
      <c r="B17" s="2" t="s">
        <v>53</v>
      </c>
      <c r="C17" s="2" t="s">
        <v>54</v>
      </c>
      <c r="D17" s="2">
        <v>131</v>
      </c>
      <c r="E17" s="2">
        <v>3.5</v>
      </c>
      <c r="F17" s="2" t="s">
        <v>17</v>
      </c>
      <c r="G17" s="2">
        <v>2018</v>
      </c>
      <c r="H17" s="2" t="s">
        <v>18</v>
      </c>
      <c r="I17" s="3">
        <v>45286</v>
      </c>
    </row>
    <row r="18" spans="1:9" x14ac:dyDescent="0.25">
      <c r="A18" s="2" t="s">
        <v>55</v>
      </c>
      <c r="B18" s="2" t="s">
        <v>56</v>
      </c>
      <c r="C18" s="2" t="s">
        <v>16</v>
      </c>
      <c r="D18" s="2">
        <v>77</v>
      </c>
      <c r="E18" s="2">
        <v>3.7</v>
      </c>
      <c r="F18" s="2" t="s">
        <v>12</v>
      </c>
      <c r="G18" s="2">
        <v>1989</v>
      </c>
      <c r="H18" s="2" t="s">
        <v>13</v>
      </c>
      <c r="I18" s="3">
        <v>45080</v>
      </c>
    </row>
    <row r="19" spans="1:9" x14ac:dyDescent="0.25">
      <c r="A19" s="2" t="s">
        <v>57</v>
      </c>
      <c r="B19" s="2" t="s">
        <v>58</v>
      </c>
      <c r="C19" s="2" t="s">
        <v>16</v>
      </c>
      <c r="D19" s="2">
        <v>131</v>
      </c>
      <c r="E19" s="2">
        <v>6.3</v>
      </c>
      <c r="F19" s="2" t="s">
        <v>28</v>
      </c>
      <c r="G19" s="2">
        <v>2000</v>
      </c>
      <c r="H19" s="2" t="s">
        <v>13</v>
      </c>
      <c r="I19" s="3">
        <v>45126</v>
      </c>
    </row>
    <row r="20" spans="1:9" x14ac:dyDescent="0.25">
      <c r="A20" s="2" t="s">
        <v>59</v>
      </c>
      <c r="B20" s="2" t="s">
        <v>60</v>
      </c>
      <c r="C20" s="2" t="s">
        <v>16</v>
      </c>
      <c r="D20" s="2">
        <v>149</v>
      </c>
      <c r="E20" s="2">
        <v>10</v>
      </c>
      <c r="F20" s="2" t="s">
        <v>24</v>
      </c>
      <c r="G20" s="2">
        <v>2025</v>
      </c>
      <c r="H20" s="2" t="s">
        <v>13</v>
      </c>
      <c r="I20" s="3">
        <v>44707</v>
      </c>
    </row>
    <row r="21" spans="1:9" ht="15.75" customHeight="1" x14ac:dyDescent="0.25">
      <c r="A21" s="2" t="s">
        <v>61</v>
      </c>
      <c r="B21" s="2" t="s">
        <v>62</v>
      </c>
      <c r="C21" s="2" t="s">
        <v>31</v>
      </c>
      <c r="D21" s="2">
        <v>190</v>
      </c>
      <c r="E21" s="2">
        <v>5.4</v>
      </c>
      <c r="F21" s="2" t="s">
        <v>17</v>
      </c>
      <c r="G21" s="2">
        <v>2000</v>
      </c>
      <c r="H21" s="2" t="s">
        <v>18</v>
      </c>
      <c r="I21" s="3">
        <v>44170</v>
      </c>
    </row>
    <row r="22" spans="1:9" ht="15.75" customHeight="1" x14ac:dyDescent="0.25">
      <c r="A22" s="2" t="s">
        <v>63</v>
      </c>
      <c r="B22" s="2" t="s">
        <v>64</v>
      </c>
      <c r="C22" s="2" t="s">
        <v>31</v>
      </c>
      <c r="D22" s="2">
        <v>162</v>
      </c>
      <c r="E22" s="2">
        <v>2.2999999999999998</v>
      </c>
      <c r="F22" s="2" t="s">
        <v>49</v>
      </c>
      <c r="G22" s="2">
        <v>2002</v>
      </c>
      <c r="H22" s="2" t="s">
        <v>18</v>
      </c>
      <c r="I22" s="3">
        <v>45092</v>
      </c>
    </row>
    <row r="23" spans="1:9" ht="15.75" customHeight="1" x14ac:dyDescent="0.25">
      <c r="A23" s="2" t="s">
        <v>65</v>
      </c>
      <c r="B23" s="2" t="s">
        <v>66</v>
      </c>
      <c r="C23" s="2" t="s">
        <v>46</v>
      </c>
      <c r="D23" s="2">
        <v>197</v>
      </c>
      <c r="E23" s="2">
        <v>5.8</v>
      </c>
      <c r="F23" s="2" t="s">
        <v>12</v>
      </c>
      <c r="G23" s="2">
        <v>2005</v>
      </c>
      <c r="H23" s="2" t="s">
        <v>13</v>
      </c>
      <c r="I23" s="3">
        <v>44116</v>
      </c>
    </row>
    <row r="24" spans="1:9" ht="15.75" customHeight="1" x14ac:dyDescent="0.25">
      <c r="A24" s="2" t="s">
        <v>67</v>
      </c>
      <c r="B24" s="2" t="s">
        <v>68</v>
      </c>
      <c r="C24" s="2" t="s">
        <v>46</v>
      </c>
      <c r="D24" s="2">
        <v>144</v>
      </c>
      <c r="E24" s="2">
        <v>4.0999999999999996</v>
      </c>
      <c r="F24" s="2" t="s">
        <v>24</v>
      </c>
      <c r="G24" s="2">
        <v>1988</v>
      </c>
      <c r="H24" s="2" t="s">
        <v>13</v>
      </c>
      <c r="I24" s="3">
        <v>45438</v>
      </c>
    </row>
    <row r="25" spans="1:9" ht="15.75" customHeight="1" x14ac:dyDescent="0.25">
      <c r="A25" s="2" t="s">
        <v>69</v>
      </c>
      <c r="B25" s="2" t="s">
        <v>70</v>
      </c>
      <c r="C25" s="2" t="s">
        <v>16</v>
      </c>
      <c r="D25" s="2">
        <v>67</v>
      </c>
      <c r="E25" s="2">
        <v>6</v>
      </c>
      <c r="F25" s="2" t="s">
        <v>21</v>
      </c>
      <c r="G25" s="2">
        <v>2003</v>
      </c>
      <c r="H25" s="2" t="s">
        <v>13</v>
      </c>
      <c r="I25" s="3">
        <v>44254</v>
      </c>
    </row>
    <row r="26" spans="1:9" ht="15.75" customHeight="1" x14ac:dyDescent="0.25">
      <c r="A26" s="2" t="s">
        <v>71</v>
      </c>
      <c r="B26" s="2" t="s">
        <v>72</v>
      </c>
      <c r="C26" s="2" t="s">
        <v>46</v>
      </c>
      <c r="D26" s="2">
        <v>89</v>
      </c>
      <c r="E26" s="2">
        <v>5.9</v>
      </c>
      <c r="F26" s="2" t="s">
        <v>12</v>
      </c>
      <c r="G26" s="2">
        <v>2012</v>
      </c>
      <c r="H26" s="2" t="s">
        <v>13</v>
      </c>
      <c r="I26" s="3">
        <v>45497</v>
      </c>
    </row>
    <row r="27" spans="1:9" ht="15.75" customHeight="1" x14ac:dyDescent="0.25">
      <c r="A27" s="2" t="s">
        <v>73</v>
      </c>
      <c r="B27" s="2" t="s">
        <v>74</v>
      </c>
      <c r="C27" s="2" t="s">
        <v>31</v>
      </c>
      <c r="D27" s="2">
        <v>126</v>
      </c>
      <c r="E27" s="2">
        <v>5.0999999999999996</v>
      </c>
      <c r="F27" s="2" t="s">
        <v>12</v>
      </c>
      <c r="G27" s="2">
        <v>2015</v>
      </c>
      <c r="H27" s="2" t="s">
        <v>18</v>
      </c>
      <c r="I27" s="3">
        <v>44254</v>
      </c>
    </row>
    <row r="28" spans="1:9" ht="15.75" customHeight="1" x14ac:dyDescent="0.25">
      <c r="A28" s="2" t="s">
        <v>75</v>
      </c>
      <c r="B28" s="2" t="s">
        <v>76</v>
      </c>
      <c r="C28" s="2" t="s">
        <v>11</v>
      </c>
      <c r="D28" s="2">
        <v>105</v>
      </c>
      <c r="E28" s="2">
        <v>3.9</v>
      </c>
      <c r="F28" s="2" t="s">
        <v>12</v>
      </c>
      <c r="G28" s="2">
        <v>1986</v>
      </c>
      <c r="H28" s="2" t="s">
        <v>13</v>
      </c>
      <c r="I28" s="3">
        <v>45480</v>
      </c>
    </row>
    <row r="29" spans="1:9" ht="15.75" customHeight="1" x14ac:dyDescent="0.25">
      <c r="A29" s="2" t="s">
        <v>77</v>
      </c>
      <c r="B29" s="2" t="s">
        <v>78</v>
      </c>
      <c r="C29" s="2" t="s">
        <v>11</v>
      </c>
      <c r="D29" s="2">
        <v>127</v>
      </c>
      <c r="E29" s="2">
        <v>2.7</v>
      </c>
      <c r="F29" s="2" t="s">
        <v>12</v>
      </c>
      <c r="G29" s="2">
        <v>2000</v>
      </c>
      <c r="H29" s="2" t="s">
        <v>18</v>
      </c>
      <c r="I29" s="3">
        <v>43952</v>
      </c>
    </row>
    <row r="30" spans="1:9" ht="15.75" customHeight="1" x14ac:dyDescent="0.25">
      <c r="A30" s="2" t="s">
        <v>79</v>
      </c>
      <c r="B30" s="2" t="s">
        <v>80</v>
      </c>
      <c r="C30" s="2" t="s">
        <v>11</v>
      </c>
      <c r="D30" s="2">
        <v>69</v>
      </c>
      <c r="E30" s="2">
        <v>7.3</v>
      </c>
      <c r="F30" s="2" t="s">
        <v>17</v>
      </c>
      <c r="G30" s="2">
        <v>1995</v>
      </c>
      <c r="H30" s="2" t="s">
        <v>18</v>
      </c>
      <c r="I30" s="3">
        <v>44998</v>
      </c>
    </row>
    <row r="31" spans="1:9" ht="15.75" customHeight="1" x14ac:dyDescent="0.25">
      <c r="A31" s="2" t="s">
        <v>81</v>
      </c>
      <c r="B31" s="2" t="s">
        <v>82</v>
      </c>
      <c r="C31" s="2" t="s">
        <v>46</v>
      </c>
      <c r="D31" s="2">
        <v>87</v>
      </c>
      <c r="E31" s="2">
        <v>6.1</v>
      </c>
      <c r="F31" s="2" t="s">
        <v>28</v>
      </c>
      <c r="G31" s="2">
        <v>2009</v>
      </c>
      <c r="H31" s="2" t="s">
        <v>13</v>
      </c>
      <c r="I31" s="3">
        <v>44549</v>
      </c>
    </row>
    <row r="32" spans="1:9" ht="15.75" customHeight="1" x14ac:dyDescent="0.25">
      <c r="A32" s="2" t="s">
        <v>83</v>
      </c>
      <c r="B32" s="2" t="s">
        <v>84</v>
      </c>
      <c r="C32" s="2" t="s">
        <v>54</v>
      </c>
      <c r="D32" s="2">
        <v>171</v>
      </c>
      <c r="E32" s="2">
        <v>3.1</v>
      </c>
      <c r="F32" s="2" t="s">
        <v>12</v>
      </c>
      <c r="G32" s="2">
        <v>1987</v>
      </c>
      <c r="H32" s="2" t="s">
        <v>18</v>
      </c>
      <c r="I32" s="3">
        <v>44921</v>
      </c>
    </row>
    <row r="33" spans="1:9" ht="15.75" customHeight="1" x14ac:dyDescent="0.25">
      <c r="A33" s="2" t="s">
        <v>85</v>
      </c>
      <c r="B33" s="2" t="s">
        <v>86</v>
      </c>
      <c r="C33" s="2" t="s">
        <v>31</v>
      </c>
      <c r="D33" s="2">
        <v>148</v>
      </c>
      <c r="E33" s="2">
        <v>8</v>
      </c>
      <c r="F33" s="2" t="s">
        <v>12</v>
      </c>
      <c r="G33" s="2">
        <v>1997</v>
      </c>
      <c r="H33" s="2" t="s">
        <v>13</v>
      </c>
      <c r="I33" s="3">
        <v>44406</v>
      </c>
    </row>
    <row r="34" spans="1:9" ht="15.75" customHeight="1" x14ac:dyDescent="0.25">
      <c r="A34" s="2" t="s">
        <v>87</v>
      </c>
      <c r="B34" s="2" t="s">
        <v>88</v>
      </c>
      <c r="C34" s="2" t="s">
        <v>54</v>
      </c>
      <c r="D34" s="2">
        <v>140</v>
      </c>
      <c r="E34" s="2">
        <v>1.4</v>
      </c>
      <c r="F34" s="2" t="s">
        <v>49</v>
      </c>
      <c r="G34" s="2">
        <v>2008</v>
      </c>
      <c r="H34" s="2" t="s">
        <v>13</v>
      </c>
      <c r="I34" s="3">
        <v>45053</v>
      </c>
    </row>
    <row r="35" spans="1:9" ht="15.75" customHeight="1" x14ac:dyDescent="0.25">
      <c r="A35" s="2" t="s">
        <v>89</v>
      </c>
      <c r="B35" s="2" t="s">
        <v>90</v>
      </c>
      <c r="C35" s="2" t="s">
        <v>46</v>
      </c>
      <c r="D35" s="2">
        <v>171</v>
      </c>
      <c r="E35" s="2">
        <v>7.7</v>
      </c>
      <c r="F35" s="2" t="s">
        <v>17</v>
      </c>
      <c r="G35" s="2">
        <v>1995</v>
      </c>
      <c r="H35" s="2" t="s">
        <v>18</v>
      </c>
      <c r="I35" s="3">
        <v>44934</v>
      </c>
    </row>
    <row r="36" spans="1:9" ht="15.75" customHeight="1" x14ac:dyDescent="0.25">
      <c r="A36" s="2" t="s">
        <v>91</v>
      </c>
      <c r="B36" s="2" t="s">
        <v>92</v>
      </c>
      <c r="C36" s="2" t="s">
        <v>27</v>
      </c>
      <c r="D36" s="2">
        <v>190</v>
      </c>
      <c r="E36" s="2">
        <v>7.3</v>
      </c>
      <c r="F36" s="2" t="s">
        <v>24</v>
      </c>
      <c r="G36" s="2">
        <v>1989</v>
      </c>
      <c r="H36" s="2" t="s">
        <v>18</v>
      </c>
      <c r="I36" s="3">
        <v>44175</v>
      </c>
    </row>
    <row r="37" spans="1:9" ht="15.75" customHeight="1" x14ac:dyDescent="0.25">
      <c r="A37" s="2" t="s">
        <v>93</v>
      </c>
      <c r="B37" s="2" t="s">
        <v>94</v>
      </c>
      <c r="C37" s="2" t="s">
        <v>16</v>
      </c>
      <c r="D37" s="2">
        <v>89</v>
      </c>
      <c r="E37" s="2">
        <v>8.3000000000000007</v>
      </c>
      <c r="F37" s="2" t="s">
        <v>28</v>
      </c>
      <c r="G37" s="2">
        <v>1986</v>
      </c>
      <c r="H37" s="2" t="s">
        <v>18</v>
      </c>
      <c r="I37" s="3">
        <v>44493</v>
      </c>
    </row>
    <row r="38" spans="1:9" ht="15.75" customHeight="1" x14ac:dyDescent="0.25">
      <c r="A38" s="2" t="s">
        <v>95</v>
      </c>
      <c r="B38" s="2" t="s">
        <v>96</v>
      </c>
      <c r="C38" s="2" t="s">
        <v>31</v>
      </c>
      <c r="D38" s="2">
        <v>158</v>
      </c>
      <c r="E38" s="2">
        <v>4.5</v>
      </c>
      <c r="F38" s="2" t="s">
        <v>24</v>
      </c>
      <c r="G38" s="2">
        <v>1983</v>
      </c>
      <c r="H38" s="2" t="s">
        <v>13</v>
      </c>
      <c r="I38" s="3">
        <v>45272</v>
      </c>
    </row>
    <row r="39" spans="1:9" ht="15.75" customHeight="1" x14ac:dyDescent="0.25">
      <c r="A39" s="2" t="s">
        <v>97</v>
      </c>
      <c r="B39" s="2" t="s">
        <v>98</v>
      </c>
      <c r="C39" s="2" t="s">
        <v>11</v>
      </c>
      <c r="D39" s="2">
        <v>108</v>
      </c>
      <c r="E39" s="2">
        <v>7</v>
      </c>
      <c r="F39" s="2" t="s">
        <v>24</v>
      </c>
      <c r="G39" s="2">
        <v>1998</v>
      </c>
      <c r="H39" s="2" t="s">
        <v>13</v>
      </c>
      <c r="I39" s="3">
        <v>44430</v>
      </c>
    </row>
    <row r="40" spans="1:9" ht="15.75" customHeight="1" x14ac:dyDescent="0.25">
      <c r="A40" s="2" t="s">
        <v>99</v>
      </c>
      <c r="B40" s="2" t="s">
        <v>100</v>
      </c>
      <c r="C40" s="2" t="s">
        <v>54</v>
      </c>
      <c r="D40" s="2">
        <v>125</v>
      </c>
      <c r="E40" s="2">
        <v>8.4</v>
      </c>
      <c r="F40" s="2" t="s">
        <v>21</v>
      </c>
      <c r="G40" s="2">
        <v>2004</v>
      </c>
      <c r="H40" s="2" t="s">
        <v>18</v>
      </c>
      <c r="I40" s="3">
        <v>44423</v>
      </c>
    </row>
    <row r="41" spans="1:9" ht="15.75" customHeight="1" x14ac:dyDescent="0.25">
      <c r="A41" s="2" t="s">
        <v>101</v>
      </c>
      <c r="B41" s="2" t="s">
        <v>102</v>
      </c>
      <c r="C41" s="2" t="s">
        <v>27</v>
      </c>
      <c r="D41" s="2">
        <v>71</v>
      </c>
      <c r="E41" s="2">
        <v>9.8000000000000007</v>
      </c>
      <c r="F41" s="2" t="s">
        <v>21</v>
      </c>
      <c r="G41" s="2">
        <v>2019</v>
      </c>
      <c r="H41" s="2" t="s">
        <v>18</v>
      </c>
      <c r="I41" s="3">
        <v>45003</v>
      </c>
    </row>
    <row r="42" spans="1:9" ht="15.75" customHeight="1" x14ac:dyDescent="0.25">
      <c r="A42" s="2" t="s">
        <v>103</v>
      </c>
      <c r="B42" s="2" t="s">
        <v>104</v>
      </c>
      <c r="C42" s="2" t="s">
        <v>27</v>
      </c>
      <c r="D42" s="2">
        <v>171</v>
      </c>
      <c r="E42" s="2">
        <v>5.5</v>
      </c>
      <c r="F42" s="2" t="s">
        <v>24</v>
      </c>
      <c r="G42" s="2">
        <v>2006</v>
      </c>
      <c r="H42" s="2" t="s">
        <v>13</v>
      </c>
      <c r="I42" s="3">
        <v>44378</v>
      </c>
    </row>
    <row r="43" spans="1:9" ht="15.75" customHeight="1" x14ac:dyDescent="0.25">
      <c r="A43" s="2" t="s">
        <v>105</v>
      </c>
      <c r="B43" s="2" t="s">
        <v>106</v>
      </c>
      <c r="C43" s="2" t="s">
        <v>31</v>
      </c>
      <c r="D43" s="2">
        <v>60</v>
      </c>
      <c r="E43" s="2">
        <v>1.3</v>
      </c>
      <c r="F43" s="2" t="s">
        <v>49</v>
      </c>
      <c r="G43" s="2">
        <v>1995</v>
      </c>
      <c r="H43" s="2" t="s">
        <v>18</v>
      </c>
      <c r="I43" s="3">
        <v>44884</v>
      </c>
    </row>
    <row r="44" spans="1:9" ht="15.75" customHeight="1" x14ac:dyDescent="0.25">
      <c r="A44" s="2" t="s">
        <v>107</v>
      </c>
      <c r="B44" s="2" t="s">
        <v>108</v>
      </c>
      <c r="C44" s="2" t="s">
        <v>31</v>
      </c>
      <c r="D44" s="2">
        <v>193</v>
      </c>
      <c r="E44" s="2">
        <v>5.5</v>
      </c>
      <c r="F44" s="2" t="s">
        <v>21</v>
      </c>
      <c r="G44" s="2">
        <v>1990</v>
      </c>
      <c r="H44" s="2" t="s">
        <v>18</v>
      </c>
      <c r="I44" s="3">
        <v>45222</v>
      </c>
    </row>
    <row r="45" spans="1:9" ht="15.75" customHeight="1" x14ac:dyDescent="0.25">
      <c r="A45" s="2" t="s">
        <v>109</v>
      </c>
      <c r="B45" s="2" t="s">
        <v>110</v>
      </c>
      <c r="C45" s="2" t="s">
        <v>27</v>
      </c>
      <c r="D45" s="2">
        <v>197</v>
      </c>
      <c r="E45" s="2">
        <v>6.3</v>
      </c>
      <c r="F45" s="2" t="s">
        <v>21</v>
      </c>
      <c r="G45" s="2">
        <v>2000</v>
      </c>
      <c r="H45" s="2" t="s">
        <v>18</v>
      </c>
      <c r="I45" s="3">
        <v>45500</v>
      </c>
    </row>
    <row r="46" spans="1:9" ht="15.75" customHeight="1" x14ac:dyDescent="0.25">
      <c r="A46" s="2" t="s">
        <v>111</v>
      </c>
      <c r="B46" s="2" t="s">
        <v>112</v>
      </c>
      <c r="C46" s="2" t="s">
        <v>16</v>
      </c>
      <c r="D46" s="2">
        <v>110</v>
      </c>
      <c r="E46" s="2">
        <v>8.8000000000000007</v>
      </c>
      <c r="F46" s="2" t="s">
        <v>21</v>
      </c>
      <c r="G46" s="2">
        <v>2016</v>
      </c>
      <c r="H46" s="2" t="s">
        <v>18</v>
      </c>
      <c r="I46" s="3">
        <v>44026</v>
      </c>
    </row>
    <row r="47" spans="1:9" ht="15.75" customHeight="1" x14ac:dyDescent="0.25">
      <c r="A47" s="2" t="s">
        <v>113</v>
      </c>
      <c r="B47" s="2" t="s">
        <v>114</v>
      </c>
      <c r="C47" s="2" t="s">
        <v>16</v>
      </c>
      <c r="D47" s="2">
        <v>153</v>
      </c>
      <c r="E47" s="2">
        <v>8.9</v>
      </c>
      <c r="F47" s="2" t="s">
        <v>21</v>
      </c>
      <c r="G47" s="2">
        <v>2000</v>
      </c>
      <c r="H47" s="2" t="s">
        <v>18</v>
      </c>
      <c r="I47" s="3">
        <v>44108</v>
      </c>
    </row>
    <row r="48" spans="1:9" ht="15.75" customHeight="1" x14ac:dyDescent="0.25">
      <c r="A48" s="2" t="s">
        <v>115</v>
      </c>
      <c r="B48" s="2" t="s">
        <v>116</v>
      </c>
      <c r="C48" s="2" t="s">
        <v>54</v>
      </c>
      <c r="D48" s="2">
        <v>170</v>
      </c>
      <c r="E48" s="2">
        <v>5</v>
      </c>
      <c r="F48" s="2" t="s">
        <v>28</v>
      </c>
      <c r="G48" s="2">
        <v>1992</v>
      </c>
      <c r="H48" s="2" t="s">
        <v>13</v>
      </c>
      <c r="I48" s="3">
        <v>45367</v>
      </c>
    </row>
    <row r="49" spans="1:9" ht="15.75" customHeight="1" x14ac:dyDescent="0.25">
      <c r="A49" s="2" t="s">
        <v>117</v>
      </c>
      <c r="B49" s="2" t="s">
        <v>118</v>
      </c>
      <c r="C49" s="2" t="s">
        <v>16</v>
      </c>
      <c r="D49" s="2">
        <v>77</v>
      </c>
      <c r="E49" s="2">
        <v>5.7</v>
      </c>
      <c r="F49" s="2" t="s">
        <v>24</v>
      </c>
      <c r="G49" s="2">
        <v>1990</v>
      </c>
      <c r="H49" s="2" t="s">
        <v>18</v>
      </c>
      <c r="I49" s="3">
        <v>45440</v>
      </c>
    </row>
    <row r="50" spans="1:9" ht="15.75" customHeight="1" x14ac:dyDescent="0.25">
      <c r="A50" s="2" t="s">
        <v>119</v>
      </c>
      <c r="B50" s="2" t="s">
        <v>120</v>
      </c>
      <c r="C50" s="2" t="s">
        <v>27</v>
      </c>
      <c r="D50" s="2">
        <v>144</v>
      </c>
      <c r="E50" s="2">
        <v>5.0999999999999996</v>
      </c>
      <c r="F50" s="2" t="s">
        <v>28</v>
      </c>
      <c r="G50" s="2">
        <v>2011</v>
      </c>
      <c r="H50" s="2" t="s">
        <v>18</v>
      </c>
      <c r="I50" s="3">
        <v>44673</v>
      </c>
    </row>
    <row r="51" spans="1:9" ht="15.75" customHeight="1" x14ac:dyDescent="0.25">
      <c r="A51" s="2" t="s">
        <v>121</v>
      </c>
      <c r="B51" s="2" t="s">
        <v>122</v>
      </c>
      <c r="C51" s="2" t="s">
        <v>27</v>
      </c>
      <c r="D51" s="2">
        <v>140</v>
      </c>
      <c r="E51" s="2">
        <v>7.5</v>
      </c>
      <c r="F51" s="2" t="s">
        <v>17</v>
      </c>
      <c r="G51" s="2">
        <v>2012</v>
      </c>
      <c r="H51" s="2" t="s">
        <v>13</v>
      </c>
      <c r="I51" s="3">
        <v>43952</v>
      </c>
    </row>
    <row r="52" spans="1:9" ht="15.75" customHeight="1" x14ac:dyDescent="0.25">
      <c r="A52" s="2" t="s">
        <v>123</v>
      </c>
      <c r="B52" s="2" t="s">
        <v>124</v>
      </c>
      <c r="C52" s="2" t="s">
        <v>46</v>
      </c>
      <c r="D52" s="2">
        <v>91</v>
      </c>
      <c r="E52" s="2">
        <v>4.7</v>
      </c>
      <c r="F52" s="2" t="s">
        <v>17</v>
      </c>
      <c r="G52" s="2">
        <v>2009</v>
      </c>
      <c r="H52" s="2" t="s">
        <v>18</v>
      </c>
      <c r="I52" s="3">
        <v>44398</v>
      </c>
    </row>
    <row r="53" spans="1:9" ht="15.75" customHeight="1" x14ac:dyDescent="0.25">
      <c r="A53" s="2" t="s">
        <v>125</v>
      </c>
      <c r="B53" s="2" t="s">
        <v>126</v>
      </c>
      <c r="C53" s="2" t="s">
        <v>27</v>
      </c>
      <c r="D53" s="2">
        <v>136</v>
      </c>
      <c r="E53" s="2">
        <v>6.9</v>
      </c>
      <c r="F53" s="2" t="s">
        <v>12</v>
      </c>
      <c r="G53" s="2">
        <v>2011</v>
      </c>
      <c r="H53" s="2" t="s">
        <v>13</v>
      </c>
      <c r="I53" s="3">
        <v>45174</v>
      </c>
    </row>
    <row r="54" spans="1:9" ht="15.75" customHeight="1" x14ac:dyDescent="0.25">
      <c r="A54" s="2" t="s">
        <v>127</v>
      </c>
      <c r="B54" s="2" t="s">
        <v>128</v>
      </c>
      <c r="C54" s="2" t="s">
        <v>16</v>
      </c>
      <c r="D54" s="2">
        <v>189</v>
      </c>
      <c r="E54" s="2">
        <v>2.4</v>
      </c>
      <c r="F54" s="2" t="s">
        <v>17</v>
      </c>
      <c r="G54" s="2">
        <v>1999</v>
      </c>
      <c r="H54" s="2" t="s">
        <v>13</v>
      </c>
      <c r="I54" s="3">
        <v>44090</v>
      </c>
    </row>
    <row r="55" spans="1:9" ht="15.75" customHeight="1" x14ac:dyDescent="0.25">
      <c r="A55" s="2" t="s">
        <v>129</v>
      </c>
      <c r="B55" s="2" t="s">
        <v>130</v>
      </c>
      <c r="C55" s="2" t="s">
        <v>11</v>
      </c>
      <c r="D55" s="2">
        <v>139</v>
      </c>
      <c r="E55" s="2">
        <v>5.2</v>
      </c>
      <c r="F55" s="2" t="s">
        <v>28</v>
      </c>
      <c r="G55" s="2">
        <v>2011</v>
      </c>
      <c r="H55" s="2" t="s">
        <v>18</v>
      </c>
      <c r="I55" s="3">
        <v>45267</v>
      </c>
    </row>
    <row r="56" spans="1:9" ht="15.75" customHeight="1" x14ac:dyDescent="0.25">
      <c r="A56" s="2" t="s">
        <v>131</v>
      </c>
      <c r="B56" s="2" t="s">
        <v>132</v>
      </c>
      <c r="C56" s="2" t="s">
        <v>54</v>
      </c>
      <c r="D56" s="2">
        <v>164</v>
      </c>
      <c r="E56" s="2">
        <v>9.6999999999999993</v>
      </c>
      <c r="F56" s="2" t="s">
        <v>12</v>
      </c>
      <c r="G56" s="2">
        <v>1981</v>
      </c>
      <c r="H56" s="2" t="s">
        <v>13</v>
      </c>
      <c r="I56" s="3">
        <v>44102</v>
      </c>
    </row>
    <row r="57" spans="1:9" ht="15.75" customHeight="1" x14ac:dyDescent="0.25">
      <c r="A57" s="2" t="s">
        <v>133</v>
      </c>
      <c r="B57" s="2" t="s">
        <v>134</v>
      </c>
      <c r="C57" s="2" t="s">
        <v>46</v>
      </c>
      <c r="D57" s="2">
        <v>143</v>
      </c>
      <c r="E57" s="2">
        <v>4</v>
      </c>
      <c r="F57" s="2" t="s">
        <v>24</v>
      </c>
      <c r="G57" s="2">
        <v>1985</v>
      </c>
      <c r="H57" s="2" t="s">
        <v>18</v>
      </c>
      <c r="I57" s="3">
        <v>44342</v>
      </c>
    </row>
    <row r="58" spans="1:9" ht="15.75" customHeight="1" x14ac:dyDescent="0.25">
      <c r="A58" s="2" t="s">
        <v>135</v>
      </c>
      <c r="B58" s="2" t="s">
        <v>136</v>
      </c>
      <c r="C58" s="2" t="s">
        <v>16</v>
      </c>
      <c r="D58" s="2">
        <v>163</v>
      </c>
      <c r="E58" s="2">
        <v>7.2</v>
      </c>
      <c r="F58" s="2" t="s">
        <v>17</v>
      </c>
      <c r="G58" s="2">
        <v>2005</v>
      </c>
      <c r="H58" s="2" t="s">
        <v>13</v>
      </c>
      <c r="I58" s="3">
        <v>44130</v>
      </c>
    </row>
    <row r="59" spans="1:9" ht="15.75" customHeight="1" x14ac:dyDescent="0.25">
      <c r="A59" s="2" t="s">
        <v>137</v>
      </c>
      <c r="B59" s="2" t="s">
        <v>138</v>
      </c>
      <c r="C59" s="2" t="s">
        <v>54</v>
      </c>
      <c r="D59" s="2">
        <v>135</v>
      </c>
      <c r="E59" s="2">
        <v>6.8</v>
      </c>
      <c r="F59" s="2" t="s">
        <v>21</v>
      </c>
      <c r="G59" s="2">
        <v>2012</v>
      </c>
      <c r="H59" s="2" t="s">
        <v>18</v>
      </c>
      <c r="I59" s="3">
        <v>45287</v>
      </c>
    </row>
    <row r="60" spans="1:9" ht="15.75" customHeight="1" x14ac:dyDescent="0.25">
      <c r="A60" s="2" t="s">
        <v>139</v>
      </c>
      <c r="B60" s="2" t="s">
        <v>140</v>
      </c>
      <c r="C60" s="2" t="s">
        <v>16</v>
      </c>
      <c r="D60" s="2">
        <v>92</v>
      </c>
      <c r="E60" s="2">
        <v>8.6999999999999993</v>
      </c>
      <c r="F60" s="2" t="s">
        <v>17</v>
      </c>
      <c r="G60" s="2">
        <v>2009</v>
      </c>
      <c r="H60" s="2" t="s">
        <v>18</v>
      </c>
      <c r="I60" s="3">
        <v>44490</v>
      </c>
    </row>
    <row r="61" spans="1:9" ht="15.75" customHeight="1" x14ac:dyDescent="0.25">
      <c r="A61" s="2" t="s">
        <v>141</v>
      </c>
      <c r="B61" s="2" t="s">
        <v>142</v>
      </c>
      <c r="C61" s="2" t="s">
        <v>46</v>
      </c>
      <c r="D61" s="2">
        <v>109</v>
      </c>
      <c r="E61" s="2">
        <v>8.6999999999999993</v>
      </c>
      <c r="F61" s="2" t="s">
        <v>49</v>
      </c>
      <c r="G61" s="2">
        <v>1995</v>
      </c>
      <c r="H61" s="2" t="s">
        <v>13</v>
      </c>
      <c r="I61" s="3">
        <v>45527</v>
      </c>
    </row>
    <row r="62" spans="1:9" ht="15.75" customHeight="1" x14ac:dyDescent="0.25">
      <c r="A62" s="2" t="s">
        <v>143</v>
      </c>
      <c r="B62" s="2" t="s">
        <v>144</v>
      </c>
      <c r="C62" s="2" t="s">
        <v>27</v>
      </c>
      <c r="D62" s="2">
        <v>167</v>
      </c>
      <c r="E62" s="2">
        <v>8.6999999999999993</v>
      </c>
      <c r="F62" s="2" t="s">
        <v>21</v>
      </c>
      <c r="G62" s="2">
        <v>1993</v>
      </c>
      <c r="H62" s="2" t="s">
        <v>18</v>
      </c>
      <c r="I62" s="3">
        <v>44337</v>
      </c>
    </row>
    <row r="63" spans="1:9" ht="15.75" customHeight="1" x14ac:dyDescent="0.25">
      <c r="A63" s="2" t="s">
        <v>145</v>
      </c>
      <c r="B63" s="2" t="s">
        <v>146</v>
      </c>
      <c r="C63" s="2" t="s">
        <v>11</v>
      </c>
      <c r="D63" s="2">
        <v>157</v>
      </c>
      <c r="E63" s="2">
        <v>4.4000000000000004</v>
      </c>
      <c r="F63" s="2" t="s">
        <v>21</v>
      </c>
      <c r="G63" s="2">
        <v>2017</v>
      </c>
      <c r="H63" s="2" t="s">
        <v>13</v>
      </c>
      <c r="I63" s="3">
        <v>45390</v>
      </c>
    </row>
    <row r="64" spans="1:9" ht="15.75" customHeight="1" x14ac:dyDescent="0.25">
      <c r="A64" s="2" t="s">
        <v>147</v>
      </c>
      <c r="B64" s="2" t="s">
        <v>148</v>
      </c>
      <c r="C64" s="2" t="s">
        <v>46</v>
      </c>
      <c r="D64" s="2">
        <v>104</v>
      </c>
      <c r="E64" s="2">
        <v>3.8</v>
      </c>
      <c r="F64" s="2" t="s">
        <v>21</v>
      </c>
      <c r="G64" s="2">
        <v>2002</v>
      </c>
      <c r="H64" s="2" t="s">
        <v>18</v>
      </c>
      <c r="I64" s="3">
        <v>45215</v>
      </c>
    </row>
    <row r="65" spans="1:9" ht="15.75" customHeight="1" x14ac:dyDescent="0.25">
      <c r="A65" s="2" t="s">
        <v>149</v>
      </c>
      <c r="B65" s="2" t="s">
        <v>150</v>
      </c>
      <c r="C65" s="2" t="s">
        <v>27</v>
      </c>
      <c r="D65" s="2">
        <v>137</v>
      </c>
      <c r="E65" s="2">
        <v>7.5</v>
      </c>
      <c r="F65" s="2" t="s">
        <v>12</v>
      </c>
      <c r="G65" s="2">
        <v>1983</v>
      </c>
      <c r="H65" s="2" t="s">
        <v>13</v>
      </c>
      <c r="I65" s="3">
        <v>44635</v>
      </c>
    </row>
    <row r="66" spans="1:9" ht="15.75" customHeight="1" x14ac:dyDescent="0.25">
      <c r="A66" s="2" t="s">
        <v>151</v>
      </c>
      <c r="B66" s="2" t="s">
        <v>152</v>
      </c>
      <c r="C66" s="2" t="s">
        <v>46</v>
      </c>
      <c r="D66" s="2">
        <v>163</v>
      </c>
      <c r="E66" s="2">
        <v>7.8</v>
      </c>
      <c r="F66" s="2" t="s">
        <v>17</v>
      </c>
      <c r="G66" s="2">
        <v>1983</v>
      </c>
      <c r="H66" s="2" t="s">
        <v>18</v>
      </c>
      <c r="I66" s="3">
        <v>44833</v>
      </c>
    </row>
    <row r="67" spans="1:9" ht="15.75" customHeight="1" x14ac:dyDescent="0.25">
      <c r="A67" s="2" t="s">
        <v>153</v>
      </c>
      <c r="B67" s="2" t="s">
        <v>154</v>
      </c>
      <c r="C67" s="2" t="s">
        <v>31</v>
      </c>
      <c r="D67" s="2">
        <v>200</v>
      </c>
      <c r="E67" s="2">
        <v>8.9</v>
      </c>
      <c r="F67" s="2" t="s">
        <v>21</v>
      </c>
      <c r="G67" s="2">
        <v>1998</v>
      </c>
      <c r="H67" s="2" t="s">
        <v>13</v>
      </c>
      <c r="I67" s="3">
        <v>44122</v>
      </c>
    </row>
    <row r="68" spans="1:9" ht="15.75" customHeight="1" x14ac:dyDescent="0.25">
      <c r="A68" s="2" t="s">
        <v>155</v>
      </c>
      <c r="B68" s="2" t="s">
        <v>156</v>
      </c>
      <c r="C68" s="2" t="s">
        <v>11</v>
      </c>
      <c r="D68" s="2">
        <v>60</v>
      </c>
      <c r="E68" s="2">
        <v>1.3</v>
      </c>
      <c r="F68" s="2" t="s">
        <v>12</v>
      </c>
      <c r="G68" s="2">
        <v>2011</v>
      </c>
      <c r="H68" s="2" t="s">
        <v>18</v>
      </c>
      <c r="I68" s="3">
        <v>45013</v>
      </c>
    </row>
    <row r="69" spans="1:9" ht="15.75" customHeight="1" x14ac:dyDescent="0.25">
      <c r="A69" s="2" t="s">
        <v>157</v>
      </c>
      <c r="B69" s="2" t="s">
        <v>158</v>
      </c>
      <c r="C69" s="2" t="s">
        <v>16</v>
      </c>
      <c r="D69" s="2">
        <v>137</v>
      </c>
      <c r="E69" s="2">
        <v>1.6</v>
      </c>
      <c r="F69" s="2" t="s">
        <v>49</v>
      </c>
      <c r="G69" s="2">
        <v>2018</v>
      </c>
      <c r="H69" s="2" t="s">
        <v>18</v>
      </c>
      <c r="I69" s="3">
        <v>45126</v>
      </c>
    </row>
    <row r="70" spans="1:9" ht="15.75" customHeight="1" x14ac:dyDescent="0.25">
      <c r="A70" s="2" t="s">
        <v>159</v>
      </c>
      <c r="B70" s="2" t="s">
        <v>160</v>
      </c>
      <c r="C70" s="2" t="s">
        <v>16</v>
      </c>
      <c r="D70" s="2">
        <v>133</v>
      </c>
      <c r="E70" s="2">
        <v>6.7</v>
      </c>
      <c r="F70" s="2" t="s">
        <v>28</v>
      </c>
      <c r="G70" s="2">
        <v>2021</v>
      </c>
      <c r="H70" s="2" t="s">
        <v>13</v>
      </c>
      <c r="I70" s="3">
        <v>44381</v>
      </c>
    </row>
    <row r="71" spans="1:9" ht="15.75" customHeight="1" x14ac:dyDescent="0.25">
      <c r="A71" s="2" t="s">
        <v>161</v>
      </c>
      <c r="B71" s="2" t="s">
        <v>162</v>
      </c>
      <c r="C71" s="2" t="s">
        <v>11</v>
      </c>
      <c r="D71" s="2">
        <v>113</v>
      </c>
      <c r="E71" s="2">
        <v>9.3000000000000007</v>
      </c>
      <c r="F71" s="2" t="s">
        <v>49</v>
      </c>
      <c r="G71" s="2">
        <v>2023</v>
      </c>
      <c r="H71" s="2" t="s">
        <v>13</v>
      </c>
      <c r="I71" s="3">
        <v>45116</v>
      </c>
    </row>
    <row r="72" spans="1:9" ht="15.75" customHeight="1" x14ac:dyDescent="0.25">
      <c r="A72" s="2" t="s">
        <v>163</v>
      </c>
      <c r="B72" s="2" t="s">
        <v>164</v>
      </c>
      <c r="C72" s="2" t="s">
        <v>31</v>
      </c>
      <c r="D72" s="2">
        <v>170</v>
      </c>
      <c r="E72" s="2">
        <v>10</v>
      </c>
      <c r="F72" s="2" t="s">
        <v>24</v>
      </c>
      <c r="G72" s="2">
        <v>2010</v>
      </c>
      <c r="H72" s="2" t="s">
        <v>13</v>
      </c>
      <c r="I72" s="3">
        <v>44679</v>
      </c>
    </row>
    <row r="73" spans="1:9" ht="15.75" customHeight="1" x14ac:dyDescent="0.25">
      <c r="A73" s="2" t="s">
        <v>165</v>
      </c>
      <c r="B73" s="2" t="s">
        <v>166</v>
      </c>
      <c r="C73" s="2" t="s">
        <v>27</v>
      </c>
      <c r="D73" s="2">
        <v>142</v>
      </c>
      <c r="E73" s="2">
        <v>7.7</v>
      </c>
      <c r="F73" s="2" t="s">
        <v>12</v>
      </c>
      <c r="G73" s="2">
        <v>1998</v>
      </c>
      <c r="H73" s="2" t="s">
        <v>18</v>
      </c>
      <c r="I73" s="3">
        <v>44599</v>
      </c>
    </row>
    <row r="74" spans="1:9" ht="15.75" customHeight="1" x14ac:dyDescent="0.25">
      <c r="A74" s="2" t="s">
        <v>167</v>
      </c>
      <c r="B74" s="2" t="s">
        <v>168</v>
      </c>
      <c r="C74" s="2" t="s">
        <v>16</v>
      </c>
      <c r="D74" s="2">
        <v>179</v>
      </c>
      <c r="E74" s="2">
        <v>4.9000000000000004</v>
      </c>
      <c r="F74" s="2" t="s">
        <v>12</v>
      </c>
      <c r="G74" s="2">
        <v>2014</v>
      </c>
      <c r="H74" s="2" t="s">
        <v>18</v>
      </c>
      <c r="I74" s="3">
        <v>44756</v>
      </c>
    </row>
    <row r="75" spans="1:9" ht="15.75" customHeight="1" x14ac:dyDescent="0.25">
      <c r="A75" s="2" t="s">
        <v>169</v>
      </c>
      <c r="B75" s="2" t="s">
        <v>170</v>
      </c>
      <c r="C75" s="2" t="s">
        <v>31</v>
      </c>
      <c r="D75" s="2">
        <v>173</v>
      </c>
      <c r="E75" s="2">
        <v>1.9</v>
      </c>
      <c r="F75" s="2" t="s">
        <v>21</v>
      </c>
      <c r="G75" s="2">
        <v>1980</v>
      </c>
      <c r="H75" s="2" t="s">
        <v>13</v>
      </c>
      <c r="I75" s="3">
        <v>43985</v>
      </c>
    </row>
    <row r="76" spans="1:9" ht="15.75" customHeight="1" x14ac:dyDescent="0.25">
      <c r="A76" s="2" t="s">
        <v>171</v>
      </c>
      <c r="B76" s="2" t="s">
        <v>172</v>
      </c>
      <c r="C76" s="2" t="s">
        <v>16</v>
      </c>
      <c r="D76" s="2">
        <v>173</v>
      </c>
      <c r="E76" s="2">
        <v>6.7</v>
      </c>
      <c r="F76" s="2" t="s">
        <v>49</v>
      </c>
      <c r="G76" s="2">
        <v>1986</v>
      </c>
      <c r="H76" s="2" t="s">
        <v>13</v>
      </c>
      <c r="I76" s="3">
        <v>45128</v>
      </c>
    </row>
    <row r="77" spans="1:9" ht="15.75" customHeight="1" x14ac:dyDescent="0.25">
      <c r="A77" s="2" t="s">
        <v>173</v>
      </c>
      <c r="B77" s="2" t="s">
        <v>174</v>
      </c>
      <c r="C77" s="2" t="s">
        <v>54</v>
      </c>
      <c r="D77" s="2">
        <v>114</v>
      </c>
      <c r="E77" s="2">
        <v>8.9</v>
      </c>
      <c r="F77" s="2" t="s">
        <v>17</v>
      </c>
      <c r="G77" s="2">
        <v>2007</v>
      </c>
      <c r="H77" s="2" t="s">
        <v>13</v>
      </c>
      <c r="I77" s="3">
        <v>45458</v>
      </c>
    </row>
    <row r="78" spans="1:9" ht="15.75" customHeight="1" x14ac:dyDescent="0.25">
      <c r="A78" s="2" t="s">
        <v>175</v>
      </c>
      <c r="B78" s="2" t="s">
        <v>176</v>
      </c>
      <c r="C78" s="2" t="s">
        <v>27</v>
      </c>
      <c r="D78" s="2">
        <v>190</v>
      </c>
      <c r="E78" s="2">
        <v>5</v>
      </c>
      <c r="F78" s="2" t="s">
        <v>24</v>
      </c>
      <c r="G78" s="2">
        <v>1988</v>
      </c>
      <c r="H78" s="2" t="s">
        <v>13</v>
      </c>
      <c r="I78" s="3">
        <v>45405</v>
      </c>
    </row>
    <row r="79" spans="1:9" ht="15.75" customHeight="1" x14ac:dyDescent="0.25">
      <c r="A79" s="2" t="s">
        <v>177</v>
      </c>
      <c r="B79" s="2" t="s">
        <v>178</v>
      </c>
      <c r="C79" s="2" t="s">
        <v>54</v>
      </c>
      <c r="D79" s="2">
        <v>181</v>
      </c>
      <c r="E79" s="2">
        <v>7.2</v>
      </c>
      <c r="F79" s="2" t="s">
        <v>12</v>
      </c>
      <c r="G79" s="2">
        <v>1996</v>
      </c>
      <c r="H79" s="2" t="s">
        <v>18</v>
      </c>
      <c r="I79" s="3">
        <v>44021</v>
      </c>
    </row>
    <row r="80" spans="1:9" ht="15.75" customHeight="1" x14ac:dyDescent="0.25">
      <c r="A80" s="2" t="s">
        <v>179</v>
      </c>
      <c r="B80" s="2" t="s">
        <v>180</v>
      </c>
      <c r="C80" s="2" t="s">
        <v>11</v>
      </c>
      <c r="D80" s="2">
        <v>103</v>
      </c>
      <c r="E80" s="2">
        <v>9.1</v>
      </c>
      <c r="F80" s="2" t="s">
        <v>49</v>
      </c>
      <c r="G80" s="2">
        <v>2003</v>
      </c>
      <c r="H80" s="2" t="s">
        <v>13</v>
      </c>
      <c r="I80" s="3">
        <v>44656</v>
      </c>
    </row>
    <row r="81" spans="1:9" ht="15.75" customHeight="1" x14ac:dyDescent="0.25">
      <c r="A81" s="2" t="s">
        <v>181</v>
      </c>
      <c r="B81" s="2" t="s">
        <v>182</v>
      </c>
      <c r="C81" s="2" t="s">
        <v>27</v>
      </c>
      <c r="D81" s="2">
        <v>81</v>
      </c>
      <c r="E81" s="2">
        <v>1.4</v>
      </c>
      <c r="F81" s="2" t="s">
        <v>21</v>
      </c>
      <c r="G81" s="2">
        <v>2005</v>
      </c>
      <c r="H81" s="2" t="s">
        <v>18</v>
      </c>
      <c r="I81" s="3">
        <v>44886</v>
      </c>
    </row>
    <row r="82" spans="1:9" ht="15.75" customHeight="1" x14ac:dyDescent="0.25">
      <c r="A82" s="2" t="s">
        <v>183</v>
      </c>
      <c r="B82" s="2" t="s">
        <v>184</v>
      </c>
      <c r="C82" s="2" t="s">
        <v>31</v>
      </c>
      <c r="D82" s="2">
        <v>132</v>
      </c>
      <c r="E82" s="2">
        <v>8.1999999999999993</v>
      </c>
      <c r="F82" s="2" t="s">
        <v>17</v>
      </c>
      <c r="G82" s="2">
        <v>2003</v>
      </c>
      <c r="H82" s="2" t="s">
        <v>18</v>
      </c>
      <c r="I82" s="3">
        <v>45366</v>
      </c>
    </row>
    <row r="83" spans="1:9" ht="15.75" customHeight="1" x14ac:dyDescent="0.25">
      <c r="A83" s="2" t="s">
        <v>185</v>
      </c>
      <c r="B83" s="2" t="s">
        <v>186</v>
      </c>
      <c r="C83" s="2" t="s">
        <v>27</v>
      </c>
      <c r="D83" s="2">
        <v>191</v>
      </c>
      <c r="E83" s="2">
        <v>3.6</v>
      </c>
      <c r="F83" s="2" t="s">
        <v>21</v>
      </c>
      <c r="G83" s="2">
        <v>1982</v>
      </c>
      <c r="H83" s="2" t="s">
        <v>13</v>
      </c>
      <c r="I83" s="3">
        <v>44400</v>
      </c>
    </row>
    <row r="84" spans="1:9" ht="15.75" customHeight="1" x14ac:dyDescent="0.25">
      <c r="A84" s="2" t="s">
        <v>187</v>
      </c>
      <c r="B84" s="2" t="s">
        <v>188</v>
      </c>
      <c r="C84" s="2" t="s">
        <v>27</v>
      </c>
      <c r="D84" s="2">
        <v>145</v>
      </c>
      <c r="E84" s="2">
        <v>4.4000000000000004</v>
      </c>
      <c r="F84" s="2" t="s">
        <v>24</v>
      </c>
      <c r="G84" s="2">
        <v>2005</v>
      </c>
      <c r="H84" s="2" t="s">
        <v>13</v>
      </c>
      <c r="I84" s="3">
        <v>45253</v>
      </c>
    </row>
    <row r="85" spans="1:9" ht="15.75" customHeight="1" x14ac:dyDescent="0.25">
      <c r="A85" s="2" t="s">
        <v>189</v>
      </c>
      <c r="B85" s="2" t="s">
        <v>190</v>
      </c>
      <c r="C85" s="2" t="s">
        <v>31</v>
      </c>
      <c r="D85" s="2">
        <v>83</v>
      </c>
      <c r="E85" s="2">
        <v>2.2999999999999998</v>
      </c>
      <c r="F85" s="2" t="s">
        <v>49</v>
      </c>
      <c r="G85" s="2">
        <v>1983</v>
      </c>
      <c r="H85" s="2" t="s">
        <v>13</v>
      </c>
      <c r="I85" s="3">
        <v>44586</v>
      </c>
    </row>
    <row r="86" spans="1:9" ht="15.75" customHeight="1" x14ac:dyDescent="0.25">
      <c r="A86" s="2" t="s">
        <v>191</v>
      </c>
      <c r="B86" s="2" t="s">
        <v>192</v>
      </c>
      <c r="C86" s="2" t="s">
        <v>11</v>
      </c>
      <c r="D86" s="2">
        <v>120</v>
      </c>
      <c r="E86" s="2">
        <v>5.8</v>
      </c>
      <c r="F86" s="2" t="s">
        <v>21</v>
      </c>
      <c r="G86" s="2">
        <v>2016</v>
      </c>
      <c r="H86" s="2" t="s">
        <v>13</v>
      </c>
      <c r="I86" s="3">
        <v>44762</v>
      </c>
    </row>
    <row r="87" spans="1:9" ht="15.75" customHeight="1" x14ac:dyDescent="0.25">
      <c r="A87" s="2" t="s">
        <v>193</v>
      </c>
      <c r="B87" s="2" t="s">
        <v>194</v>
      </c>
      <c r="C87" s="2" t="s">
        <v>27</v>
      </c>
      <c r="D87" s="2">
        <v>139</v>
      </c>
      <c r="E87" s="2">
        <v>6.1</v>
      </c>
      <c r="F87" s="2" t="s">
        <v>24</v>
      </c>
      <c r="G87" s="2">
        <v>2015</v>
      </c>
      <c r="H87" s="2" t="s">
        <v>18</v>
      </c>
      <c r="I87" s="3">
        <v>44830</v>
      </c>
    </row>
    <row r="88" spans="1:9" ht="15.75" customHeight="1" x14ac:dyDescent="0.25">
      <c r="A88" s="2" t="s">
        <v>195</v>
      </c>
      <c r="B88" s="2" t="s">
        <v>196</v>
      </c>
      <c r="C88" s="2" t="s">
        <v>11</v>
      </c>
      <c r="D88" s="2">
        <v>117</v>
      </c>
      <c r="E88" s="2">
        <v>8.1</v>
      </c>
      <c r="F88" s="2" t="s">
        <v>12</v>
      </c>
      <c r="G88" s="2">
        <v>1992</v>
      </c>
      <c r="H88" s="2" t="s">
        <v>13</v>
      </c>
      <c r="I88" s="3">
        <v>44501</v>
      </c>
    </row>
    <row r="89" spans="1:9" ht="15.75" customHeight="1" x14ac:dyDescent="0.25">
      <c r="A89" s="2" t="s">
        <v>197</v>
      </c>
      <c r="B89" s="2" t="s">
        <v>198</v>
      </c>
      <c r="C89" s="2" t="s">
        <v>11</v>
      </c>
      <c r="D89" s="2">
        <v>110</v>
      </c>
      <c r="E89" s="2">
        <v>2.5</v>
      </c>
      <c r="F89" s="2" t="s">
        <v>17</v>
      </c>
      <c r="G89" s="2">
        <v>2003</v>
      </c>
      <c r="H89" s="2" t="s">
        <v>13</v>
      </c>
      <c r="I89" s="3">
        <v>45022</v>
      </c>
    </row>
    <row r="90" spans="1:9" ht="15.75" customHeight="1" x14ac:dyDescent="0.25">
      <c r="A90" s="2" t="s">
        <v>199</v>
      </c>
      <c r="B90" s="2" t="s">
        <v>200</v>
      </c>
      <c r="C90" s="2" t="s">
        <v>11</v>
      </c>
      <c r="D90" s="2">
        <v>97</v>
      </c>
      <c r="E90" s="2">
        <v>1.7</v>
      </c>
      <c r="F90" s="2" t="s">
        <v>49</v>
      </c>
      <c r="G90" s="2">
        <v>2015</v>
      </c>
      <c r="H90" s="2" t="s">
        <v>18</v>
      </c>
      <c r="I90" s="3">
        <v>43836</v>
      </c>
    </row>
    <row r="91" spans="1:9" ht="15.75" customHeight="1" x14ac:dyDescent="0.25">
      <c r="A91" s="2" t="s">
        <v>201</v>
      </c>
      <c r="B91" s="2" t="s">
        <v>202</v>
      </c>
      <c r="C91" s="2" t="s">
        <v>16</v>
      </c>
      <c r="D91" s="2">
        <v>66</v>
      </c>
      <c r="E91" s="2">
        <v>8.8000000000000007</v>
      </c>
      <c r="F91" s="2" t="s">
        <v>49</v>
      </c>
      <c r="G91" s="2">
        <v>1998</v>
      </c>
      <c r="H91" s="2" t="s">
        <v>13</v>
      </c>
      <c r="I91" s="3">
        <v>45416</v>
      </c>
    </row>
    <row r="92" spans="1:9" ht="15.75" customHeight="1" x14ac:dyDescent="0.25">
      <c r="A92" s="2" t="s">
        <v>203</v>
      </c>
      <c r="B92" s="2" t="s">
        <v>204</v>
      </c>
      <c r="C92" s="2" t="s">
        <v>46</v>
      </c>
      <c r="D92" s="2">
        <v>71</v>
      </c>
      <c r="E92" s="2">
        <v>6.6</v>
      </c>
      <c r="F92" s="2" t="s">
        <v>24</v>
      </c>
      <c r="G92" s="2">
        <v>1984</v>
      </c>
      <c r="H92" s="2" t="s">
        <v>18</v>
      </c>
      <c r="I92" s="3">
        <v>45331</v>
      </c>
    </row>
    <row r="93" spans="1:9" ht="15.75" customHeight="1" x14ac:dyDescent="0.25">
      <c r="A93" s="2" t="s">
        <v>205</v>
      </c>
      <c r="B93" s="2" t="s">
        <v>206</v>
      </c>
      <c r="C93" s="2" t="s">
        <v>11</v>
      </c>
      <c r="D93" s="2">
        <v>122</v>
      </c>
      <c r="E93" s="2">
        <v>3.2</v>
      </c>
      <c r="F93" s="2" t="s">
        <v>49</v>
      </c>
      <c r="G93" s="2">
        <v>2004</v>
      </c>
      <c r="H93" s="2" t="s">
        <v>18</v>
      </c>
      <c r="I93" s="3">
        <v>44021</v>
      </c>
    </row>
    <row r="94" spans="1:9" ht="15.75" customHeight="1" x14ac:dyDescent="0.25">
      <c r="A94" s="2" t="s">
        <v>207</v>
      </c>
      <c r="B94" s="2" t="s">
        <v>208</v>
      </c>
      <c r="C94" s="2" t="s">
        <v>31</v>
      </c>
      <c r="D94" s="2">
        <v>181</v>
      </c>
      <c r="E94" s="2">
        <v>9.1999999999999993</v>
      </c>
      <c r="F94" s="2" t="s">
        <v>17</v>
      </c>
      <c r="G94" s="2">
        <v>2012</v>
      </c>
      <c r="H94" s="2" t="s">
        <v>18</v>
      </c>
      <c r="I94" s="3">
        <v>45327</v>
      </c>
    </row>
    <row r="95" spans="1:9" ht="15.75" customHeight="1" x14ac:dyDescent="0.25">
      <c r="A95" s="2" t="s">
        <v>209</v>
      </c>
      <c r="B95" s="2" t="s">
        <v>210</v>
      </c>
      <c r="C95" s="2" t="s">
        <v>46</v>
      </c>
      <c r="D95" s="2">
        <v>78</v>
      </c>
      <c r="E95" s="2">
        <v>2.2999999999999998</v>
      </c>
      <c r="F95" s="2" t="s">
        <v>17</v>
      </c>
      <c r="G95" s="2">
        <v>2008</v>
      </c>
      <c r="H95" s="2" t="s">
        <v>18</v>
      </c>
      <c r="I95" s="3">
        <v>44769</v>
      </c>
    </row>
    <row r="96" spans="1:9" ht="15.75" customHeight="1" x14ac:dyDescent="0.25">
      <c r="A96" s="2" t="s">
        <v>211</v>
      </c>
      <c r="B96" s="2" t="s">
        <v>212</v>
      </c>
      <c r="C96" s="2" t="s">
        <v>11</v>
      </c>
      <c r="D96" s="2">
        <v>176</v>
      </c>
      <c r="E96" s="2">
        <v>5.2</v>
      </c>
      <c r="F96" s="2" t="s">
        <v>49</v>
      </c>
      <c r="G96" s="2">
        <v>2015</v>
      </c>
      <c r="H96" s="2" t="s">
        <v>18</v>
      </c>
      <c r="I96" s="3">
        <v>45131</v>
      </c>
    </row>
    <row r="97" spans="1:9" ht="15.75" customHeight="1" x14ac:dyDescent="0.25">
      <c r="A97" s="2" t="s">
        <v>213</v>
      </c>
      <c r="B97" s="2" t="s">
        <v>214</v>
      </c>
      <c r="C97" s="2" t="s">
        <v>31</v>
      </c>
      <c r="D97" s="2">
        <v>166</v>
      </c>
      <c r="E97" s="2">
        <v>3.3</v>
      </c>
      <c r="F97" s="2" t="s">
        <v>21</v>
      </c>
      <c r="G97" s="2">
        <v>1997</v>
      </c>
      <c r="H97" s="2" t="s">
        <v>18</v>
      </c>
      <c r="I97" s="3">
        <v>45191</v>
      </c>
    </row>
    <row r="98" spans="1:9" ht="15.75" customHeight="1" x14ac:dyDescent="0.25">
      <c r="A98" s="2" t="s">
        <v>215</v>
      </c>
      <c r="B98" s="2" t="s">
        <v>216</v>
      </c>
      <c r="C98" s="2" t="s">
        <v>31</v>
      </c>
      <c r="D98" s="2">
        <v>109</v>
      </c>
      <c r="E98" s="2">
        <v>3.3</v>
      </c>
      <c r="F98" s="2" t="s">
        <v>21</v>
      </c>
      <c r="G98" s="2">
        <v>2019</v>
      </c>
      <c r="H98" s="2" t="s">
        <v>18</v>
      </c>
      <c r="I98" s="3">
        <v>45259</v>
      </c>
    </row>
    <row r="99" spans="1:9" ht="15.75" customHeight="1" x14ac:dyDescent="0.25">
      <c r="A99" s="2" t="s">
        <v>217</v>
      </c>
      <c r="B99" s="2" t="s">
        <v>218</v>
      </c>
      <c r="C99" s="2" t="s">
        <v>54</v>
      </c>
      <c r="D99" s="2">
        <v>158</v>
      </c>
      <c r="E99" s="2">
        <v>1.1000000000000001</v>
      </c>
      <c r="F99" s="2" t="s">
        <v>17</v>
      </c>
      <c r="G99" s="2">
        <v>2023</v>
      </c>
      <c r="H99" s="2" t="s">
        <v>18</v>
      </c>
      <c r="I99" s="3">
        <v>44564</v>
      </c>
    </row>
    <row r="100" spans="1:9" ht="15.75" customHeight="1" x14ac:dyDescent="0.25">
      <c r="A100" s="2" t="s">
        <v>219</v>
      </c>
      <c r="B100" s="2" t="s">
        <v>220</v>
      </c>
      <c r="C100" s="2" t="s">
        <v>54</v>
      </c>
      <c r="D100" s="2">
        <v>186</v>
      </c>
      <c r="E100" s="2">
        <v>8.1999999999999993</v>
      </c>
      <c r="F100" s="2" t="s">
        <v>21</v>
      </c>
      <c r="G100" s="2">
        <v>2019</v>
      </c>
      <c r="H100" s="2" t="s">
        <v>18</v>
      </c>
      <c r="I100" s="3">
        <v>43960</v>
      </c>
    </row>
    <row r="101" spans="1:9" ht="15.75" customHeight="1" x14ac:dyDescent="0.25">
      <c r="A101" s="2" t="s">
        <v>221</v>
      </c>
      <c r="B101" s="2" t="s">
        <v>222</v>
      </c>
      <c r="C101" s="2" t="s">
        <v>27</v>
      </c>
      <c r="D101" s="2">
        <v>162</v>
      </c>
      <c r="E101" s="2">
        <v>9.1</v>
      </c>
      <c r="F101" s="2" t="s">
        <v>24</v>
      </c>
      <c r="G101" s="2">
        <v>1987</v>
      </c>
      <c r="H101" s="2" t="s">
        <v>18</v>
      </c>
      <c r="I101" s="3">
        <v>45460</v>
      </c>
    </row>
    <row r="102" spans="1:9" ht="15.75" customHeight="1" x14ac:dyDescent="0.25">
      <c r="A102" s="2" t="s">
        <v>223</v>
      </c>
      <c r="B102" s="2" t="s">
        <v>224</v>
      </c>
      <c r="C102" s="2" t="s">
        <v>11</v>
      </c>
      <c r="D102" s="2">
        <v>122</v>
      </c>
      <c r="E102" s="2">
        <v>7.1</v>
      </c>
      <c r="F102" s="2" t="s">
        <v>28</v>
      </c>
      <c r="G102" s="2">
        <v>1988</v>
      </c>
      <c r="H102" s="2" t="s">
        <v>13</v>
      </c>
      <c r="I102" s="3">
        <v>44925</v>
      </c>
    </row>
    <row r="103" spans="1:9" ht="15.75" customHeight="1" x14ac:dyDescent="0.25">
      <c r="A103" s="2" t="s">
        <v>225</v>
      </c>
      <c r="B103" s="2" t="s">
        <v>226</v>
      </c>
      <c r="C103" s="2" t="s">
        <v>11</v>
      </c>
      <c r="D103" s="2">
        <v>97</v>
      </c>
      <c r="E103" s="2">
        <v>2.4</v>
      </c>
      <c r="F103" s="2" t="s">
        <v>12</v>
      </c>
      <c r="G103" s="2">
        <v>1986</v>
      </c>
      <c r="H103" s="2" t="s">
        <v>18</v>
      </c>
      <c r="I103" s="3">
        <v>44645</v>
      </c>
    </row>
    <row r="104" spans="1:9" ht="15.75" customHeight="1" x14ac:dyDescent="0.25">
      <c r="A104" s="2" t="s">
        <v>227</v>
      </c>
      <c r="B104" s="2" t="s">
        <v>228</v>
      </c>
      <c r="C104" s="2" t="s">
        <v>46</v>
      </c>
      <c r="D104" s="2">
        <v>61</v>
      </c>
      <c r="E104" s="2">
        <v>5</v>
      </c>
      <c r="F104" s="2" t="s">
        <v>49</v>
      </c>
      <c r="G104" s="2">
        <v>2005</v>
      </c>
      <c r="H104" s="2" t="s">
        <v>18</v>
      </c>
      <c r="I104" s="3">
        <v>44277</v>
      </c>
    </row>
    <row r="105" spans="1:9" ht="15.75" customHeight="1" x14ac:dyDescent="0.25">
      <c r="A105" s="2" t="s">
        <v>229</v>
      </c>
      <c r="B105" s="2" t="s">
        <v>230</v>
      </c>
      <c r="C105" s="2" t="s">
        <v>31</v>
      </c>
      <c r="D105" s="2">
        <v>87</v>
      </c>
      <c r="E105" s="2">
        <v>4.0999999999999996</v>
      </c>
      <c r="F105" s="2" t="s">
        <v>24</v>
      </c>
      <c r="G105" s="2">
        <v>2003</v>
      </c>
      <c r="H105" s="2" t="s">
        <v>13</v>
      </c>
      <c r="I105" s="3">
        <v>44710</v>
      </c>
    </row>
    <row r="106" spans="1:9" ht="15.75" customHeight="1" x14ac:dyDescent="0.25">
      <c r="A106" s="2" t="s">
        <v>231</v>
      </c>
      <c r="B106" s="2" t="s">
        <v>232</v>
      </c>
      <c r="C106" s="2" t="s">
        <v>11</v>
      </c>
      <c r="D106" s="2">
        <v>168</v>
      </c>
      <c r="E106" s="2">
        <v>6.3</v>
      </c>
      <c r="F106" s="2" t="s">
        <v>17</v>
      </c>
      <c r="G106" s="2">
        <v>2001</v>
      </c>
      <c r="H106" s="2" t="s">
        <v>18</v>
      </c>
      <c r="I106" s="3">
        <v>45520</v>
      </c>
    </row>
    <row r="107" spans="1:9" ht="15.75" customHeight="1" x14ac:dyDescent="0.25">
      <c r="A107" s="2" t="s">
        <v>233</v>
      </c>
      <c r="B107" s="2" t="s">
        <v>234</v>
      </c>
      <c r="C107" s="2" t="s">
        <v>27</v>
      </c>
      <c r="D107" s="2">
        <v>116</v>
      </c>
      <c r="E107" s="2">
        <v>6.8</v>
      </c>
      <c r="F107" s="2" t="s">
        <v>28</v>
      </c>
      <c r="G107" s="2">
        <v>2015</v>
      </c>
      <c r="H107" s="2" t="s">
        <v>18</v>
      </c>
      <c r="I107" s="3">
        <v>44264</v>
      </c>
    </row>
    <row r="108" spans="1:9" ht="15.75" customHeight="1" x14ac:dyDescent="0.25">
      <c r="A108" s="2" t="s">
        <v>235</v>
      </c>
      <c r="B108" s="2" t="s">
        <v>236</v>
      </c>
      <c r="C108" s="2" t="s">
        <v>16</v>
      </c>
      <c r="D108" s="2">
        <v>105</v>
      </c>
      <c r="E108" s="2">
        <v>4.8</v>
      </c>
      <c r="F108" s="2" t="s">
        <v>12</v>
      </c>
      <c r="G108" s="2">
        <v>2003</v>
      </c>
      <c r="H108" s="2" t="s">
        <v>18</v>
      </c>
      <c r="I108" s="3">
        <v>44844</v>
      </c>
    </row>
    <row r="109" spans="1:9" ht="15.75" customHeight="1" x14ac:dyDescent="0.25">
      <c r="A109" s="2" t="s">
        <v>237</v>
      </c>
      <c r="B109" s="2" t="s">
        <v>238</v>
      </c>
      <c r="C109" s="2" t="s">
        <v>31</v>
      </c>
      <c r="D109" s="2">
        <v>192</v>
      </c>
      <c r="E109" s="2">
        <v>3.3</v>
      </c>
      <c r="F109" s="2" t="s">
        <v>17</v>
      </c>
      <c r="G109" s="2">
        <v>1989</v>
      </c>
      <c r="H109" s="2" t="s">
        <v>13</v>
      </c>
      <c r="I109" s="3">
        <v>44380</v>
      </c>
    </row>
    <row r="110" spans="1:9" ht="15.75" customHeight="1" x14ac:dyDescent="0.25">
      <c r="A110" s="2" t="s">
        <v>239</v>
      </c>
      <c r="B110" s="2" t="s">
        <v>240</v>
      </c>
      <c r="C110" s="2" t="s">
        <v>16</v>
      </c>
      <c r="D110" s="2">
        <v>178</v>
      </c>
      <c r="E110" s="2">
        <v>8.6</v>
      </c>
      <c r="F110" s="2" t="s">
        <v>28</v>
      </c>
      <c r="G110" s="2">
        <v>1992</v>
      </c>
      <c r="H110" s="2" t="s">
        <v>13</v>
      </c>
      <c r="I110" s="3">
        <v>44492</v>
      </c>
    </row>
    <row r="111" spans="1:9" ht="15.75" customHeight="1" x14ac:dyDescent="0.25">
      <c r="A111" s="2" t="s">
        <v>241</v>
      </c>
      <c r="B111" s="2" t="s">
        <v>242</v>
      </c>
      <c r="C111" s="2" t="s">
        <v>27</v>
      </c>
      <c r="D111" s="2">
        <v>72</v>
      </c>
      <c r="E111" s="2">
        <v>2.8</v>
      </c>
      <c r="F111" s="2" t="s">
        <v>24</v>
      </c>
      <c r="G111" s="2">
        <v>2018</v>
      </c>
      <c r="H111" s="2" t="s">
        <v>13</v>
      </c>
      <c r="I111" s="3">
        <v>45527</v>
      </c>
    </row>
    <row r="112" spans="1:9" ht="15.75" customHeight="1" x14ac:dyDescent="0.25">
      <c r="A112" s="2" t="s">
        <v>243</v>
      </c>
      <c r="B112" s="2" t="s">
        <v>244</v>
      </c>
      <c r="C112" s="2" t="s">
        <v>54</v>
      </c>
      <c r="D112" s="2">
        <v>123</v>
      </c>
      <c r="E112" s="2">
        <v>4.5</v>
      </c>
      <c r="F112" s="2" t="s">
        <v>28</v>
      </c>
      <c r="G112" s="2">
        <v>2012</v>
      </c>
      <c r="H112" s="2" t="s">
        <v>13</v>
      </c>
      <c r="I112" s="3">
        <v>44411</v>
      </c>
    </row>
    <row r="113" spans="1:9" ht="15.75" customHeight="1" x14ac:dyDescent="0.25">
      <c r="A113" s="2" t="s">
        <v>245</v>
      </c>
      <c r="B113" s="2" t="s">
        <v>246</v>
      </c>
      <c r="C113" s="2" t="s">
        <v>27</v>
      </c>
      <c r="D113" s="2">
        <v>91</v>
      </c>
      <c r="E113" s="2">
        <v>5.3</v>
      </c>
      <c r="F113" s="2" t="s">
        <v>21</v>
      </c>
      <c r="G113" s="2">
        <v>2005</v>
      </c>
      <c r="H113" s="2" t="s">
        <v>18</v>
      </c>
      <c r="I113" s="3">
        <v>44522</v>
      </c>
    </row>
    <row r="114" spans="1:9" ht="15.75" customHeight="1" x14ac:dyDescent="0.25">
      <c r="A114" s="2" t="s">
        <v>247</v>
      </c>
      <c r="B114" s="2" t="s">
        <v>248</v>
      </c>
      <c r="C114" s="2" t="s">
        <v>16</v>
      </c>
      <c r="D114" s="2">
        <v>176</v>
      </c>
      <c r="E114" s="2">
        <v>3.1</v>
      </c>
      <c r="F114" s="2" t="s">
        <v>24</v>
      </c>
      <c r="G114" s="2">
        <v>2012</v>
      </c>
      <c r="H114" s="2" t="s">
        <v>18</v>
      </c>
      <c r="I114" s="3">
        <v>44951</v>
      </c>
    </row>
    <row r="115" spans="1:9" ht="15.75" customHeight="1" x14ac:dyDescent="0.25">
      <c r="A115" s="2" t="s">
        <v>249</v>
      </c>
      <c r="B115" s="2" t="s">
        <v>250</v>
      </c>
      <c r="C115" s="2" t="s">
        <v>31</v>
      </c>
      <c r="D115" s="2">
        <v>94</v>
      </c>
      <c r="E115" s="2">
        <v>6.1</v>
      </c>
      <c r="F115" s="2" t="s">
        <v>49</v>
      </c>
      <c r="G115" s="2">
        <v>1982</v>
      </c>
      <c r="H115" s="2" t="s">
        <v>18</v>
      </c>
      <c r="I115" s="3">
        <v>45014</v>
      </c>
    </row>
    <row r="116" spans="1:9" ht="15.75" customHeight="1" x14ac:dyDescent="0.25">
      <c r="A116" s="2" t="s">
        <v>251</v>
      </c>
      <c r="B116" s="2" t="s">
        <v>252</v>
      </c>
      <c r="C116" s="2" t="s">
        <v>46</v>
      </c>
      <c r="D116" s="2">
        <v>178</v>
      </c>
      <c r="E116" s="2">
        <v>6.2</v>
      </c>
      <c r="F116" s="2" t="s">
        <v>17</v>
      </c>
      <c r="G116" s="2">
        <v>1982</v>
      </c>
      <c r="H116" s="2" t="s">
        <v>13</v>
      </c>
      <c r="I116" s="3">
        <v>44098</v>
      </c>
    </row>
    <row r="117" spans="1:9" ht="15.75" customHeight="1" x14ac:dyDescent="0.25">
      <c r="A117" s="2" t="s">
        <v>253</v>
      </c>
      <c r="B117" s="2" t="s">
        <v>254</v>
      </c>
      <c r="C117" s="2" t="s">
        <v>11</v>
      </c>
      <c r="D117" s="2">
        <v>195</v>
      </c>
      <c r="E117" s="2">
        <v>9.9</v>
      </c>
      <c r="F117" s="2" t="s">
        <v>21</v>
      </c>
      <c r="G117" s="2">
        <v>1982</v>
      </c>
      <c r="H117" s="2" t="s">
        <v>13</v>
      </c>
      <c r="I117" s="3">
        <v>44990</v>
      </c>
    </row>
    <row r="118" spans="1:9" ht="15.75" customHeight="1" x14ac:dyDescent="0.25">
      <c r="A118" s="2" t="s">
        <v>255</v>
      </c>
      <c r="B118" s="2" t="s">
        <v>256</v>
      </c>
      <c r="C118" s="2" t="s">
        <v>27</v>
      </c>
      <c r="D118" s="2">
        <v>141</v>
      </c>
      <c r="E118" s="2">
        <v>3.7</v>
      </c>
      <c r="F118" s="2" t="s">
        <v>49</v>
      </c>
      <c r="G118" s="2">
        <v>1988</v>
      </c>
      <c r="H118" s="2" t="s">
        <v>18</v>
      </c>
      <c r="I118" s="3">
        <v>44824</v>
      </c>
    </row>
    <row r="119" spans="1:9" ht="15.75" customHeight="1" x14ac:dyDescent="0.25">
      <c r="A119" s="2" t="s">
        <v>257</v>
      </c>
      <c r="B119" s="2" t="s">
        <v>258</v>
      </c>
      <c r="C119" s="2" t="s">
        <v>31</v>
      </c>
      <c r="D119" s="2">
        <v>173</v>
      </c>
      <c r="E119" s="2">
        <v>9.8000000000000007</v>
      </c>
      <c r="F119" s="2" t="s">
        <v>28</v>
      </c>
      <c r="G119" s="2">
        <v>2025</v>
      </c>
      <c r="H119" s="2" t="s">
        <v>13</v>
      </c>
      <c r="I119" s="3">
        <v>45445</v>
      </c>
    </row>
    <row r="120" spans="1:9" ht="15.75" customHeight="1" x14ac:dyDescent="0.25">
      <c r="A120" s="2" t="s">
        <v>259</v>
      </c>
      <c r="B120" s="2" t="s">
        <v>260</v>
      </c>
      <c r="C120" s="2" t="s">
        <v>11</v>
      </c>
      <c r="D120" s="2">
        <v>189</v>
      </c>
      <c r="E120" s="2">
        <v>6.9</v>
      </c>
      <c r="F120" s="2" t="s">
        <v>21</v>
      </c>
      <c r="G120" s="2">
        <v>2001</v>
      </c>
      <c r="H120" s="2" t="s">
        <v>18</v>
      </c>
      <c r="I120" s="3">
        <v>44534</v>
      </c>
    </row>
    <row r="121" spans="1:9" ht="15.75" customHeight="1" x14ac:dyDescent="0.25">
      <c r="A121" s="2" t="s">
        <v>261</v>
      </c>
      <c r="B121" s="2" t="s">
        <v>262</v>
      </c>
      <c r="C121" s="2" t="s">
        <v>54</v>
      </c>
      <c r="D121" s="2">
        <v>169</v>
      </c>
      <c r="E121" s="2">
        <v>3.5</v>
      </c>
      <c r="F121" s="2" t="s">
        <v>49</v>
      </c>
      <c r="G121" s="2">
        <v>2010</v>
      </c>
      <c r="H121" s="2" t="s">
        <v>13</v>
      </c>
      <c r="I121" s="3">
        <v>45228</v>
      </c>
    </row>
    <row r="122" spans="1:9" ht="15.75" customHeight="1" x14ac:dyDescent="0.25">
      <c r="A122" s="2" t="s">
        <v>263</v>
      </c>
      <c r="B122" s="2" t="s">
        <v>264</v>
      </c>
      <c r="C122" s="2" t="s">
        <v>54</v>
      </c>
      <c r="D122" s="2">
        <v>200</v>
      </c>
      <c r="E122" s="2">
        <v>6.1</v>
      </c>
      <c r="F122" s="2" t="s">
        <v>24</v>
      </c>
      <c r="G122" s="2">
        <v>2013</v>
      </c>
      <c r="H122" s="2" t="s">
        <v>18</v>
      </c>
      <c r="I122" s="3">
        <v>45392</v>
      </c>
    </row>
    <row r="123" spans="1:9" ht="15.75" customHeight="1" x14ac:dyDescent="0.25">
      <c r="A123" s="2" t="s">
        <v>265</v>
      </c>
      <c r="B123" s="2" t="s">
        <v>266</v>
      </c>
      <c r="C123" s="2" t="s">
        <v>11</v>
      </c>
      <c r="D123" s="2">
        <v>174</v>
      </c>
      <c r="E123" s="2">
        <v>7.2</v>
      </c>
      <c r="F123" s="2" t="s">
        <v>28</v>
      </c>
      <c r="G123" s="2">
        <v>2009</v>
      </c>
      <c r="H123" s="2" t="s">
        <v>18</v>
      </c>
      <c r="I123" s="3">
        <v>43930</v>
      </c>
    </row>
    <row r="124" spans="1:9" ht="15.75" customHeight="1" x14ac:dyDescent="0.25">
      <c r="A124" s="2" t="s">
        <v>267</v>
      </c>
      <c r="B124" s="2" t="s">
        <v>268</v>
      </c>
      <c r="C124" s="2" t="s">
        <v>54</v>
      </c>
      <c r="D124" s="2">
        <v>100</v>
      </c>
      <c r="E124" s="2">
        <v>7.7</v>
      </c>
      <c r="F124" s="2" t="s">
        <v>49</v>
      </c>
      <c r="G124" s="2">
        <v>1989</v>
      </c>
      <c r="H124" s="2" t="s">
        <v>18</v>
      </c>
      <c r="I124" s="3">
        <v>43925</v>
      </c>
    </row>
    <row r="125" spans="1:9" ht="15.75" customHeight="1" x14ac:dyDescent="0.25">
      <c r="A125" s="2" t="s">
        <v>269</v>
      </c>
      <c r="B125" s="2" t="s">
        <v>270</v>
      </c>
      <c r="C125" s="2" t="s">
        <v>31</v>
      </c>
      <c r="D125" s="2">
        <v>181</v>
      </c>
      <c r="E125" s="2">
        <v>1.4</v>
      </c>
      <c r="F125" s="2" t="s">
        <v>28</v>
      </c>
      <c r="G125" s="2">
        <v>2018</v>
      </c>
      <c r="H125" s="2" t="s">
        <v>18</v>
      </c>
      <c r="I125" s="3">
        <v>44034</v>
      </c>
    </row>
    <row r="126" spans="1:9" ht="15.75" customHeight="1" x14ac:dyDescent="0.25">
      <c r="A126" s="2" t="s">
        <v>271</v>
      </c>
      <c r="B126" s="2" t="s">
        <v>272</v>
      </c>
      <c r="C126" s="2" t="s">
        <v>27</v>
      </c>
      <c r="D126" s="2">
        <v>175</v>
      </c>
      <c r="E126" s="2">
        <v>6.5</v>
      </c>
      <c r="F126" s="2" t="s">
        <v>49</v>
      </c>
      <c r="G126" s="2">
        <v>2012</v>
      </c>
      <c r="H126" s="2" t="s">
        <v>18</v>
      </c>
      <c r="I126" s="3">
        <v>45113</v>
      </c>
    </row>
    <row r="127" spans="1:9" ht="15.75" customHeight="1" x14ac:dyDescent="0.25">
      <c r="A127" s="2" t="s">
        <v>273</v>
      </c>
      <c r="B127" s="2" t="s">
        <v>274</v>
      </c>
      <c r="C127" s="2" t="s">
        <v>31</v>
      </c>
      <c r="D127" s="2">
        <v>126</v>
      </c>
      <c r="E127" s="2">
        <v>5.5</v>
      </c>
      <c r="F127" s="2" t="s">
        <v>17</v>
      </c>
      <c r="G127" s="2">
        <v>1988</v>
      </c>
      <c r="H127" s="2" t="s">
        <v>18</v>
      </c>
      <c r="I127" s="3">
        <v>45436</v>
      </c>
    </row>
    <row r="128" spans="1:9" ht="15.75" customHeight="1" x14ac:dyDescent="0.25">
      <c r="A128" s="2" t="s">
        <v>275</v>
      </c>
      <c r="B128" s="2" t="s">
        <v>276</v>
      </c>
      <c r="C128" s="2" t="s">
        <v>31</v>
      </c>
      <c r="D128" s="2">
        <v>123</v>
      </c>
      <c r="E128" s="2">
        <v>9.1</v>
      </c>
      <c r="F128" s="2" t="s">
        <v>24</v>
      </c>
      <c r="G128" s="2">
        <v>2000</v>
      </c>
      <c r="H128" s="2" t="s">
        <v>13</v>
      </c>
      <c r="I128" s="3">
        <v>44772</v>
      </c>
    </row>
    <row r="129" spans="1:9" ht="15.75" customHeight="1" x14ac:dyDescent="0.25">
      <c r="A129" s="2" t="s">
        <v>277</v>
      </c>
      <c r="B129" s="2" t="s">
        <v>278</v>
      </c>
      <c r="C129" s="2" t="s">
        <v>11</v>
      </c>
      <c r="D129" s="2">
        <v>130</v>
      </c>
      <c r="E129" s="2">
        <v>3.6</v>
      </c>
      <c r="F129" s="2" t="s">
        <v>21</v>
      </c>
      <c r="G129" s="2">
        <v>2019</v>
      </c>
      <c r="H129" s="2" t="s">
        <v>18</v>
      </c>
      <c r="I129" s="3">
        <v>43864</v>
      </c>
    </row>
    <row r="130" spans="1:9" ht="15.75" customHeight="1" x14ac:dyDescent="0.25">
      <c r="A130" s="2" t="s">
        <v>279</v>
      </c>
      <c r="B130" s="2" t="s">
        <v>280</v>
      </c>
      <c r="C130" s="2" t="s">
        <v>46</v>
      </c>
      <c r="D130" s="2">
        <v>193</v>
      </c>
      <c r="E130" s="2">
        <v>8.1999999999999993</v>
      </c>
      <c r="F130" s="2" t="s">
        <v>49</v>
      </c>
      <c r="G130" s="2">
        <v>2000</v>
      </c>
      <c r="H130" s="2" t="s">
        <v>13</v>
      </c>
      <c r="I130" s="3">
        <v>44085</v>
      </c>
    </row>
    <row r="131" spans="1:9" ht="15.75" customHeight="1" x14ac:dyDescent="0.25">
      <c r="A131" s="2" t="s">
        <v>281</v>
      </c>
      <c r="B131" s="2" t="s">
        <v>282</v>
      </c>
      <c r="C131" s="2" t="s">
        <v>46</v>
      </c>
      <c r="D131" s="2">
        <v>184</v>
      </c>
      <c r="E131" s="2">
        <v>6.5</v>
      </c>
      <c r="F131" s="2" t="s">
        <v>28</v>
      </c>
      <c r="G131" s="2">
        <v>1990</v>
      </c>
      <c r="H131" s="2" t="s">
        <v>13</v>
      </c>
      <c r="I131" s="3">
        <v>44154</v>
      </c>
    </row>
    <row r="132" spans="1:9" ht="15.75" customHeight="1" x14ac:dyDescent="0.25">
      <c r="A132" s="2" t="s">
        <v>283</v>
      </c>
      <c r="B132" s="2" t="s">
        <v>284</v>
      </c>
      <c r="C132" s="2" t="s">
        <v>27</v>
      </c>
      <c r="D132" s="2">
        <v>121</v>
      </c>
      <c r="E132" s="2">
        <v>4.2</v>
      </c>
      <c r="F132" s="2" t="s">
        <v>24</v>
      </c>
      <c r="G132" s="2">
        <v>2005</v>
      </c>
      <c r="H132" s="2" t="s">
        <v>18</v>
      </c>
      <c r="I132" s="3">
        <v>44734</v>
      </c>
    </row>
    <row r="133" spans="1:9" ht="15.75" customHeight="1" x14ac:dyDescent="0.25">
      <c r="A133" s="2" t="s">
        <v>285</v>
      </c>
      <c r="B133" s="2" t="s">
        <v>286</v>
      </c>
      <c r="C133" s="2" t="s">
        <v>11</v>
      </c>
      <c r="D133" s="2">
        <v>130</v>
      </c>
      <c r="E133" s="2">
        <v>6.7</v>
      </c>
      <c r="F133" s="2" t="s">
        <v>21</v>
      </c>
      <c r="G133" s="2">
        <v>2019</v>
      </c>
      <c r="H133" s="2" t="s">
        <v>13</v>
      </c>
      <c r="I133" s="3">
        <v>44765</v>
      </c>
    </row>
    <row r="134" spans="1:9" ht="15.75" customHeight="1" x14ac:dyDescent="0.25">
      <c r="A134" s="2" t="s">
        <v>287</v>
      </c>
      <c r="B134" s="2" t="s">
        <v>288</v>
      </c>
      <c r="C134" s="2" t="s">
        <v>46</v>
      </c>
      <c r="D134" s="2">
        <v>172</v>
      </c>
      <c r="E134" s="2">
        <v>6.6</v>
      </c>
      <c r="F134" s="2" t="s">
        <v>28</v>
      </c>
      <c r="G134" s="2">
        <v>1999</v>
      </c>
      <c r="H134" s="2" t="s">
        <v>13</v>
      </c>
      <c r="I134" s="3">
        <v>43832</v>
      </c>
    </row>
    <row r="135" spans="1:9" ht="15.75" customHeight="1" x14ac:dyDescent="0.25">
      <c r="A135" s="2" t="s">
        <v>289</v>
      </c>
      <c r="B135" s="2" t="s">
        <v>290</v>
      </c>
      <c r="C135" s="2" t="s">
        <v>54</v>
      </c>
      <c r="D135" s="2">
        <v>79</v>
      </c>
      <c r="E135" s="2">
        <v>7.1</v>
      </c>
      <c r="F135" s="2" t="s">
        <v>24</v>
      </c>
      <c r="G135" s="2">
        <v>2017</v>
      </c>
      <c r="H135" s="2" t="s">
        <v>13</v>
      </c>
      <c r="I135" s="3">
        <v>44707</v>
      </c>
    </row>
    <row r="136" spans="1:9" ht="15.75" customHeight="1" x14ac:dyDescent="0.25">
      <c r="A136" s="2" t="s">
        <v>291</v>
      </c>
      <c r="B136" s="2" t="s">
        <v>292</v>
      </c>
      <c r="C136" s="2" t="s">
        <v>46</v>
      </c>
      <c r="D136" s="2">
        <v>133</v>
      </c>
      <c r="E136" s="2">
        <v>7.5</v>
      </c>
      <c r="F136" s="2" t="s">
        <v>28</v>
      </c>
      <c r="G136" s="2">
        <v>2001</v>
      </c>
      <c r="H136" s="2" t="s">
        <v>13</v>
      </c>
      <c r="I136" s="3">
        <v>44245</v>
      </c>
    </row>
    <row r="137" spans="1:9" ht="15.75" customHeight="1" x14ac:dyDescent="0.25">
      <c r="A137" s="2" t="s">
        <v>293</v>
      </c>
      <c r="B137" s="2" t="s">
        <v>294</v>
      </c>
      <c r="C137" s="2" t="s">
        <v>54</v>
      </c>
      <c r="D137" s="2">
        <v>120</v>
      </c>
      <c r="E137" s="2">
        <v>6.9</v>
      </c>
      <c r="F137" s="2" t="s">
        <v>12</v>
      </c>
      <c r="G137" s="2">
        <v>2012</v>
      </c>
      <c r="H137" s="2" t="s">
        <v>13</v>
      </c>
      <c r="I137" s="3">
        <v>45241</v>
      </c>
    </row>
    <row r="138" spans="1:9" ht="15.75" customHeight="1" x14ac:dyDescent="0.25">
      <c r="A138" s="2" t="s">
        <v>295</v>
      </c>
      <c r="B138" s="2" t="s">
        <v>296</v>
      </c>
      <c r="C138" s="2" t="s">
        <v>27</v>
      </c>
      <c r="D138" s="2">
        <v>129</v>
      </c>
      <c r="E138" s="2">
        <v>8.5</v>
      </c>
      <c r="F138" s="2" t="s">
        <v>12</v>
      </c>
      <c r="G138" s="2">
        <v>2012</v>
      </c>
      <c r="H138" s="2" t="s">
        <v>13</v>
      </c>
      <c r="I138" s="3">
        <v>44101</v>
      </c>
    </row>
    <row r="139" spans="1:9" ht="15.75" customHeight="1" x14ac:dyDescent="0.25">
      <c r="A139" s="2" t="s">
        <v>297</v>
      </c>
      <c r="B139" s="2" t="s">
        <v>298</v>
      </c>
      <c r="C139" s="2" t="s">
        <v>31</v>
      </c>
      <c r="D139" s="2">
        <v>145</v>
      </c>
      <c r="E139" s="2">
        <v>6.7</v>
      </c>
      <c r="F139" s="2" t="s">
        <v>24</v>
      </c>
      <c r="G139" s="2">
        <v>2014</v>
      </c>
      <c r="H139" s="2" t="s">
        <v>18</v>
      </c>
      <c r="I139" s="3">
        <v>45162</v>
      </c>
    </row>
    <row r="140" spans="1:9" ht="15.75" customHeight="1" x14ac:dyDescent="0.25">
      <c r="A140" s="2" t="s">
        <v>299</v>
      </c>
      <c r="B140" s="2" t="s">
        <v>300</v>
      </c>
      <c r="C140" s="2" t="s">
        <v>31</v>
      </c>
      <c r="D140" s="2">
        <v>141</v>
      </c>
      <c r="E140" s="2">
        <v>9.1</v>
      </c>
      <c r="F140" s="2" t="s">
        <v>21</v>
      </c>
      <c r="G140" s="2">
        <v>2011</v>
      </c>
      <c r="H140" s="2" t="s">
        <v>13</v>
      </c>
      <c r="I140" s="3">
        <v>44449</v>
      </c>
    </row>
    <row r="141" spans="1:9" ht="15.75" customHeight="1" x14ac:dyDescent="0.25">
      <c r="A141" s="2" t="s">
        <v>301</v>
      </c>
      <c r="B141" s="2" t="s">
        <v>302</v>
      </c>
      <c r="C141" s="2" t="s">
        <v>46</v>
      </c>
      <c r="D141" s="2">
        <v>198</v>
      </c>
      <c r="E141" s="2">
        <v>6.8</v>
      </c>
      <c r="F141" s="2" t="s">
        <v>21</v>
      </c>
      <c r="G141" s="2">
        <v>2025</v>
      </c>
      <c r="H141" s="2" t="s">
        <v>13</v>
      </c>
      <c r="I141" s="3">
        <v>44156</v>
      </c>
    </row>
    <row r="142" spans="1:9" ht="15.75" customHeight="1" x14ac:dyDescent="0.25">
      <c r="A142" s="2" t="s">
        <v>303</v>
      </c>
      <c r="B142" s="2" t="s">
        <v>304</v>
      </c>
      <c r="C142" s="2" t="s">
        <v>54</v>
      </c>
      <c r="D142" s="2">
        <v>80</v>
      </c>
      <c r="E142" s="2">
        <v>3.8</v>
      </c>
      <c r="F142" s="2" t="s">
        <v>28</v>
      </c>
      <c r="G142" s="2">
        <v>2016</v>
      </c>
      <c r="H142" s="2" t="s">
        <v>13</v>
      </c>
      <c r="I142" s="3">
        <v>44392</v>
      </c>
    </row>
    <row r="143" spans="1:9" ht="15.75" customHeight="1" x14ac:dyDescent="0.25">
      <c r="A143" s="2" t="s">
        <v>305</v>
      </c>
      <c r="B143" s="2" t="s">
        <v>306</v>
      </c>
      <c r="C143" s="2" t="s">
        <v>16</v>
      </c>
      <c r="D143" s="2">
        <v>95</v>
      </c>
      <c r="E143" s="2">
        <v>5</v>
      </c>
      <c r="F143" s="2" t="s">
        <v>24</v>
      </c>
      <c r="G143" s="2">
        <v>1999</v>
      </c>
      <c r="H143" s="2" t="s">
        <v>13</v>
      </c>
      <c r="I143" s="3">
        <v>44022</v>
      </c>
    </row>
    <row r="144" spans="1:9" ht="15.75" customHeight="1" x14ac:dyDescent="0.25">
      <c r="A144" s="2" t="s">
        <v>307</v>
      </c>
      <c r="B144" s="2" t="s">
        <v>308</v>
      </c>
      <c r="C144" s="2" t="s">
        <v>16</v>
      </c>
      <c r="D144" s="2">
        <v>98</v>
      </c>
      <c r="E144" s="2">
        <v>6.2</v>
      </c>
      <c r="F144" s="2" t="s">
        <v>49</v>
      </c>
      <c r="G144" s="2">
        <v>2010</v>
      </c>
      <c r="H144" s="2" t="s">
        <v>13</v>
      </c>
      <c r="I144" s="3">
        <v>45171</v>
      </c>
    </row>
    <row r="145" spans="1:9" ht="15.75" customHeight="1" x14ac:dyDescent="0.25">
      <c r="A145" s="2" t="s">
        <v>309</v>
      </c>
      <c r="B145" s="2" t="s">
        <v>310</v>
      </c>
      <c r="C145" s="2" t="s">
        <v>16</v>
      </c>
      <c r="D145" s="2">
        <v>119</v>
      </c>
      <c r="E145" s="2">
        <v>7.6</v>
      </c>
      <c r="F145" s="2" t="s">
        <v>12</v>
      </c>
      <c r="G145" s="2">
        <v>1981</v>
      </c>
      <c r="H145" s="2" t="s">
        <v>13</v>
      </c>
      <c r="I145" s="3">
        <v>44569</v>
      </c>
    </row>
    <row r="146" spans="1:9" ht="15.75" customHeight="1" x14ac:dyDescent="0.25">
      <c r="A146" s="2" t="s">
        <v>311</v>
      </c>
      <c r="B146" s="2" t="s">
        <v>312</v>
      </c>
      <c r="C146" s="2" t="s">
        <v>31</v>
      </c>
      <c r="D146" s="2">
        <v>158</v>
      </c>
      <c r="E146" s="2">
        <v>1.8</v>
      </c>
      <c r="F146" s="2" t="s">
        <v>21</v>
      </c>
      <c r="G146" s="2">
        <v>2003</v>
      </c>
      <c r="H146" s="2" t="s">
        <v>18</v>
      </c>
      <c r="I146" s="3">
        <v>44343</v>
      </c>
    </row>
    <row r="147" spans="1:9" ht="15.75" customHeight="1" x14ac:dyDescent="0.25">
      <c r="A147" s="2" t="s">
        <v>313</v>
      </c>
      <c r="B147" s="2" t="s">
        <v>314</v>
      </c>
      <c r="C147" s="2" t="s">
        <v>11</v>
      </c>
      <c r="D147" s="2">
        <v>99</v>
      </c>
      <c r="E147" s="2">
        <v>3.7</v>
      </c>
      <c r="F147" s="2" t="s">
        <v>12</v>
      </c>
      <c r="G147" s="2">
        <v>2001</v>
      </c>
      <c r="H147" s="2" t="s">
        <v>18</v>
      </c>
      <c r="I147" s="3">
        <v>43999</v>
      </c>
    </row>
    <row r="148" spans="1:9" ht="15.75" customHeight="1" x14ac:dyDescent="0.25">
      <c r="A148" s="2" t="s">
        <v>315</v>
      </c>
      <c r="B148" s="2" t="s">
        <v>316</v>
      </c>
      <c r="C148" s="2" t="s">
        <v>31</v>
      </c>
      <c r="D148" s="2">
        <v>114</v>
      </c>
      <c r="E148" s="2">
        <v>7.7</v>
      </c>
      <c r="F148" s="2" t="s">
        <v>49</v>
      </c>
      <c r="G148" s="2">
        <v>2023</v>
      </c>
      <c r="H148" s="2" t="s">
        <v>13</v>
      </c>
      <c r="I148" s="3">
        <v>44592</v>
      </c>
    </row>
    <row r="149" spans="1:9" ht="15.75" customHeight="1" x14ac:dyDescent="0.25">
      <c r="A149" s="2" t="s">
        <v>317</v>
      </c>
      <c r="B149" s="2" t="s">
        <v>318</v>
      </c>
      <c r="C149" s="2" t="s">
        <v>11</v>
      </c>
      <c r="D149" s="2">
        <v>76</v>
      </c>
      <c r="E149" s="2">
        <v>2.6</v>
      </c>
      <c r="F149" s="2" t="s">
        <v>49</v>
      </c>
      <c r="G149" s="2">
        <v>1987</v>
      </c>
      <c r="H149" s="2" t="s">
        <v>18</v>
      </c>
      <c r="I149" s="3">
        <v>45191</v>
      </c>
    </row>
    <row r="150" spans="1:9" ht="15.75" customHeight="1" x14ac:dyDescent="0.25">
      <c r="A150" s="2" t="s">
        <v>319</v>
      </c>
      <c r="B150" s="2" t="s">
        <v>320</v>
      </c>
      <c r="C150" s="2" t="s">
        <v>54</v>
      </c>
      <c r="D150" s="2">
        <v>166</v>
      </c>
      <c r="E150" s="2">
        <v>2.2000000000000002</v>
      </c>
      <c r="F150" s="2" t="s">
        <v>17</v>
      </c>
      <c r="G150" s="2">
        <v>2006</v>
      </c>
      <c r="H150" s="2" t="s">
        <v>18</v>
      </c>
      <c r="I150" s="3">
        <v>45159</v>
      </c>
    </row>
    <row r="151" spans="1:9" ht="15.75" customHeight="1" x14ac:dyDescent="0.25">
      <c r="A151" s="2" t="s">
        <v>321</v>
      </c>
      <c r="B151" s="2" t="s">
        <v>322</v>
      </c>
      <c r="C151" s="2" t="s">
        <v>46</v>
      </c>
      <c r="D151" s="2">
        <v>164</v>
      </c>
      <c r="E151" s="2">
        <v>5.9</v>
      </c>
      <c r="F151" s="2" t="s">
        <v>28</v>
      </c>
      <c r="G151" s="2">
        <v>2017</v>
      </c>
      <c r="H151" s="2" t="s">
        <v>13</v>
      </c>
      <c r="I151" s="3">
        <v>44169</v>
      </c>
    </row>
    <row r="152" spans="1:9" ht="15.75" customHeight="1" x14ac:dyDescent="0.25">
      <c r="A152" s="2" t="s">
        <v>323</v>
      </c>
      <c r="B152" s="2" t="s">
        <v>324</v>
      </c>
      <c r="C152" s="2" t="s">
        <v>16</v>
      </c>
      <c r="D152" s="2">
        <v>144</v>
      </c>
      <c r="E152" s="2">
        <v>9.6999999999999993</v>
      </c>
      <c r="F152" s="2" t="s">
        <v>28</v>
      </c>
      <c r="G152" s="2">
        <v>1999</v>
      </c>
      <c r="H152" s="2" t="s">
        <v>13</v>
      </c>
      <c r="I152" s="3">
        <v>43937</v>
      </c>
    </row>
    <row r="153" spans="1:9" ht="15.75" customHeight="1" x14ac:dyDescent="0.25">
      <c r="A153" s="2" t="s">
        <v>325</v>
      </c>
      <c r="B153" s="2" t="s">
        <v>326</v>
      </c>
      <c r="C153" s="2" t="s">
        <v>54</v>
      </c>
      <c r="D153" s="2">
        <v>198</v>
      </c>
      <c r="E153" s="2">
        <v>5.8</v>
      </c>
      <c r="F153" s="2" t="s">
        <v>28</v>
      </c>
      <c r="G153" s="2">
        <v>2024</v>
      </c>
      <c r="H153" s="2" t="s">
        <v>18</v>
      </c>
      <c r="I153" s="3">
        <v>44642</v>
      </c>
    </row>
    <row r="154" spans="1:9" ht="15.75" customHeight="1" x14ac:dyDescent="0.25">
      <c r="A154" s="2" t="s">
        <v>327</v>
      </c>
      <c r="B154" s="2" t="s">
        <v>328</v>
      </c>
      <c r="C154" s="2" t="s">
        <v>54</v>
      </c>
      <c r="D154" s="2">
        <v>179</v>
      </c>
      <c r="E154" s="2">
        <v>9.1999999999999993</v>
      </c>
      <c r="F154" s="2" t="s">
        <v>24</v>
      </c>
      <c r="G154" s="2">
        <v>2020</v>
      </c>
      <c r="H154" s="2" t="s">
        <v>13</v>
      </c>
      <c r="I154" s="3">
        <v>45112</v>
      </c>
    </row>
    <row r="155" spans="1:9" ht="15.75" customHeight="1" x14ac:dyDescent="0.25">
      <c r="A155" s="2" t="s">
        <v>329</v>
      </c>
      <c r="B155" s="2" t="s">
        <v>330</v>
      </c>
      <c r="C155" s="2" t="s">
        <v>46</v>
      </c>
      <c r="D155" s="2">
        <v>166</v>
      </c>
      <c r="E155" s="2">
        <v>8.5</v>
      </c>
      <c r="F155" s="2" t="s">
        <v>21</v>
      </c>
      <c r="G155" s="2">
        <v>1981</v>
      </c>
      <c r="H155" s="2" t="s">
        <v>13</v>
      </c>
      <c r="I155" s="3">
        <v>44456</v>
      </c>
    </row>
    <row r="156" spans="1:9" ht="15.75" customHeight="1" x14ac:dyDescent="0.25">
      <c r="A156" s="2" t="s">
        <v>331</v>
      </c>
      <c r="B156" s="2" t="s">
        <v>332</v>
      </c>
      <c r="C156" s="2" t="s">
        <v>54</v>
      </c>
      <c r="D156" s="2">
        <v>75</v>
      </c>
      <c r="E156" s="2">
        <v>3.3</v>
      </c>
      <c r="F156" s="2" t="s">
        <v>21</v>
      </c>
      <c r="G156" s="2">
        <v>2018</v>
      </c>
      <c r="H156" s="2" t="s">
        <v>18</v>
      </c>
      <c r="I156" s="3">
        <v>45317</v>
      </c>
    </row>
    <row r="157" spans="1:9" ht="15.75" customHeight="1" x14ac:dyDescent="0.25">
      <c r="A157" s="2" t="s">
        <v>333</v>
      </c>
      <c r="B157" s="2" t="s">
        <v>334</v>
      </c>
      <c r="C157" s="2" t="s">
        <v>46</v>
      </c>
      <c r="D157" s="2">
        <v>112</v>
      </c>
      <c r="E157" s="2">
        <v>8.4</v>
      </c>
      <c r="F157" s="2" t="s">
        <v>17</v>
      </c>
      <c r="G157" s="2">
        <v>2010</v>
      </c>
      <c r="H157" s="2" t="s">
        <v>18</v>
      </c>
      <c r="I157" s="3">
        <v>45263</v>
      </c>
    </row>
    <row r="158" spans="1:9" ht="15.75" customHeight="1" x14ac:dyDescent="0.25">
      <c r="A158" s="2" t="s">
        <v>335</v>
      </c>
      <c r="B158" s="2" t="s">
        <v>336</v>
      </c>
      <c r="C158" s="2" t="s">
        <v>27</v>
      </c>
      <c r="D158" s="2">
        <v>167</v>
      </c>
      <c r="E158" s="2">
        <v>5.3</v>
      </c>
      <c r="F158" s="2" t="s">
        <v>12</v>
      </c>
      <c r="G158" s="2">
        <v>1996</v>
      </c>
      <c r="H158" s="2" t="s">
        <v>13</v>
      </c>
      <c r="I158" s="3">
        <v>45377</v>
      </c>
    </row>
    <row r="159" spans="1:9" ht="15.75" customHeight="1" x14ac:dyDescent="0.25">
      <c r="A159" s="2" t="s">
        <v>337</v>
      </c>
      <c r="B159" s="2" t="s">
        <v>338</v>
      </c>
      <c r="C159" s="2" t="s">
        <v>46</v>
      </c>
      <c r="D159" s="2">
        <v>159</v>
      </c>
      <c r="E159" s="2">
        <v>8.3000000000000007</v>
      </c>
      <c r="F159" s="2" t="s">
        <v>17</v>
      </c>
      <c r="G159" s="2">
        <v>2021</v>
      </c>
      <c r="H159" s="2" t="s">
        <v>18</v>
      </c>
      <c r="I159" s="3">
        <v>44310</v>
      </c>
    </row>
    <row r="160" spans="1:9" ht="15.75" customHeight="1" x14ac:dyDescent="0.25">
      <c r="A160" s="2" t="s">
        <v>339</v>
      </c>
      <c r="B160" s="2" t="s">
        <v>340</v>
      </c>
      <c r="C160" s="2" t="s">
        <v>16</v>
      </c>
      <c r="D160" s="2">
        <v>65</v>
      </c>
      <c r="E160" s="2">
        <v>7.7</v>
      </c>
      <c r="F160" s="2" t="s">
        <v>17</v>
      </c>
      <c r="G160" s="2">
        <v>2017</v>
      </c>
      <c r="H160" s="2" t="s">
        <v>13</v>
      </c>
      <c r="I160" s="3">
        <v>44710</v>
      </c>
    </row>
    <row r="161" spans="1:9" ht="15.75" customHeight="1" x14ac:dyDescent="0.25">
      <c r="A161" s="2" t="s">
        <v>341</v>
      </c>
      <c r="B161" s="2" t="s">
        <v>342</v>
      </c>
      <c r="C161" s="2" t="s">
        <v>11</v>
      </c>
      <c r="D161" s="2">
        <v>157</v>
      </c>
      <c r="E161" s="2">
        <v>4</v>
      </c>
      <c r="F161" s="2" t="s">
        <v>49</v>
      </c>
      <c r="G161" s="2">
        <v>2016</v>
      </c>
      <c r="H161" s="2" t="s">
        <v>13</v>
      </c>
      <c r="I161" s="3">
        <v>45173</v>
      </c>
    </row>
    <row r="162" spans="1:9" ht="15.75" customHeight="1" x14ac:dyDescent="0.25">
      <c r="A162" s="2" t="s">
        <v>343</v>
      </c>
      <c r="B162" s="2" t="s">
        <v>344</v>
      </c>
      <c r="C162" s="2" t="s">
        <v>11</v>
      </c>
      <c r="D162" s="2">
        <v>182</v>
      </c>
      <c r="E162" s="2">
        <v>2</v>
      </c>
      <c r="F162" s="2" t="s">
        <v>28</v>
      </c>
      <c r="G162" s="2">
        <v>1994</v>
      </c>
      <c r="H162" s="2" t="s">
        <v>13</v>
      </c>
      <c r="I162" s="3">
        <v>44017</v>
      </c>
    </row>
    <row r="163" spans="1:9" ht="15.75" customHeight="1" x14ac:dyDescent="0.25">
      <c r="A163" s="2" t="s">
        <v>345</v>
      </c>
      <c r="B163" s="2" t="s">
        <v>346</v>
      </c>
      <c r="C163" s="2" t="s">
        <v>16</v>
      </c>
      <c r="D163" s="2">
        <v>61</v>
      </c>
      <c r="E163" s="2">
        <v>9.6999999999999993</v>
      </c>
      <c r="F163" s="2" t="s">
        <v>24</v>
      </c>
      <c r="G163" s="2">
        <v>1983</v>
      </c>
      <c r="H163" s="2" t="s">
        <v>13</v>
      </c>
      <c r="I163" s="3">
        <v>45272</v>
      </c>
    </row>
    <row r="164" spans="1:9" ht="15.75" customHeight="1" x14ac:dyDescent="0.25">
      <c r="A164" s="2" t="s">
        <v>347</v>
      </c>
      <c r="B164" s="2" t="s">
        <v>348</v>
      </c>
      <c r="C164" s="2" t="s">
        <v>11</v>
      </c>
      <c r="D164" s="2">
        <v>150</v>
      </c>
      <c r="E164" s="2">
        <v>2.2999999999999998</v>
      </c>
      <c r="F164" s="2" t="s">
        <v>21</v>
      </c>
      <c r="G164" s="2">
        <v>2017</v>
      </c>
      <c r="H164" s="2" t="s">
        <v>13</v>
      </c>
      <c r="I164" s="3">
        <v>44025</v>
      </c>
    </row>
    <row r="165" spans="1:9" ht="15.75" customHeight="1" x14ac:dyDescent="0.25">
      <c r="A165" s="2" t="s">
        <v>349</v>
      </c>
      <c r="B165" s="2" t="s">
        <v>350</v>
      </c>
      <c r="C165" s="2" t="s">
        <v>46</v>
      </c>
      <c r="D165" s="2">
        <v>136</v>
      </c>
      <c r="E165" s="2">
        <v>9.6999999999999993</v>
      </c>
      <c r="F165" s="2" t="s">
        <v>24</v>
      </c>
      <c r="G165" s="2">
        <v>2010</v>
      </c>
      <c r="H165" s="2" t="s">
        <v>13</v>
      </c>
      <c r="I165" s="3">
        <v>43833</v>
      </c>
    </row>
    <row r="166" spans="1:9" ht="15.75" customHeight="1" x14ac:dyDescent="0.25">
      <c r="A166" s="2" t="s">
        <v>351</v>
      </c>
      <c r="B166" s="2" t="s">
        <v>352</v>
      </c>
      <c r="C166" s="2" t="s">
        <v>27</v>
      </c>
      <c r="D166" s="2">
        <v>159</v>
      </c>
      <c r="E166" s="2">
        <v>8.6999999999999993</v>
      </c>
      <c r="F166" s="2" t="s">
        <v>28</v>
      </c>
      <c r="G166" s="2">
        <v>1990</v>
      </c>
      <c r="H166" s="2" t="s">
        <v>18</v>
      </c>
      <c r="I166" s="3">
        <v>44268</v>
      </c>
    </row>
    <row r="167" spans="1:9" ht="15.75" customHeight="1" x14ac:dyDescent="0.25">
      <c r="A167" s="2" t="s">
        <v>353</v>
      </c>
      <c r="B167" s="2" t="s">
        <v>354</v>
      </c>
      <c r="C167" s="2" t="s">
        <v>11</v>
      </c>
      <c r="D167" s="2">
        <v>167</v>
      </c>
      <c r="E167" s="2">
        <v>7.5</v>
      </c>
      <c r="F167" s="2" t="s">
        <v>28</v>
      </c>
      <c r="G167" s="2">
        <v>2013</v>
      </c>
      <c r="H167" s="2" t="s">
        <v>18</v>
      </c>
      <c r="I167" s="3">
        <v>44807</v>
      </c>
    </row>
    <row r="168" spans="1:9" ht="15.75" customHeight="1" x14ac:dyDescent="0.25">
      <c r="A168" s="2" t="s">
        <v>355</v>
      </c>
      <c r="B168" s="2" t="s">
        <v>356</v>
      </c>
      <c r="C168" s="2" t="s">
        <v>27</v>
      </c>
      <c r="D168" s="2">
        <v>197</v>
      </c>
      <c r="E168" s="2">
        <v>9.8000000000000007</v>
      </c>
      <c r="F168" s="2" t="s">
        <v>21</v>
      </c>
      <c r="G168" s="2">
        <v>2020</v>
      </c>
      <c r="H168" s="2" t="s">
        <v>18</v>
      </c>
      <c r="I168" s="3">
        <v>43990</v>
      </c>
    </row>
    <row r="169" spans="1:9" ht="15.75" customHeight="1" x14ac:dyDescent="0.25">
      <c r="A169" s="2" t="s">
        <v>357</v>
      </c>
      <c r="B169" s="2" t="s">
        <v>358</v>
      </c>
      <c r="C169" s="2" t="s">
        <v>16</v>
      </c>
      <c r="D169" s="2">
        <v>199</v>
      </c>
      <c r="E169" s="2">
        <v>9.6999999999999993</v>
      </c>
      <c r="F169" s="2" t="s">
        <v>49</v>
      </c>
      <c r="G169" s="2">
        <v>2019</v>
      </c>
      <c r="H169" s="2" t="s">
        <v>18</v>
      </c>
      <c r="I169" s="3">
        <v>44102</v>
      </c>
    </row>
    <row r="170" spans="1:9" ht="15.75" customHeight="1" x14ac:dyDescent="0.25">
      <c r="A170" s="2" t="s">
        <v>359</v>
      </c>
      <c r="B170" s="2" t="s">
        <v>360</v>
      </c>
      <c r="C170" s="2" t="s">
        <v>27</v>
      </c>
      <c r="D170" s="2">
        <v>116</v>
      </c>
      <c r="E170" s="2">
        <v>8.1999999999999993</v>
      </c>
      <c r="F170" s="2" t="s">
        <v>12</v>
      </c>
      <c r="G170" s="2">
        <v>2004</v>
      </c>
      <c r="H170" s="2" t="s">
        <v>13</v>
      </c>
      <c r="I170" s="3">
        <v>45046</v>
      </c>
    </row>
    <row r="171" spans="1:9" ht="15.75" customHeight="1" x14ac:dyDescent="0.25">
      <c r="A171" s="2" t="s">
        <v>361</v>
      </c>
      <c r="B171" s="2" t="s">
        <v>362</v>
      </c>
      <c r="C171" s="2" t="s">
        <v>54</v>
      </c>
      <c r="D171" s="2">
        <v>184</v>
      </c>
      <c r="E171" s="2">
        <v>4.3</v>
      </c>
      <c r="F171" s="2" t="s">
        <v>17</v>
      </c>
      <c r="G171" s="2">
        <v>1989</v>
      </c>
      <c r="H171" s="2" t="s">
        <v>18</v>
      </c>
      <c r="I171" s="3">
        <v>44294</v>
      </c>
    </row>
    <row r="172" spans="1:9" ht="15.75" customHeight="1" x14ac:dyDescent="0.25">
      <c r="A172" s="2" t="s">
        <v>363</v>
      </c>
      <c r="B172" s="2" t="s">
        <v>364</v>
      </c>
      <c r="C172" s="2" t="s">
        <v>31</v>
      </c>
      <c r="D172" s="2">
        <v>116</v>
      </c>
      <c r="E172" s="2">
        <v>8.1</v>
      </c>
      <c r="F172" s="2" t="s">
        <v>49</v>
      </c>
      <c r="G172" s="2">
        <v>2023</v>
      </c>
      <c r="H172" s="2" t="s">
        <v>18</v>
      </c>
      <c r="I172" s="3">
        <v>44894</v>
      </c>
    </row>
    <row r="173" spans="1:9" ht="15.75" customHeight="1" x14ac:dyDescent="0.25">
      <c r="A173" s="2" t="s">
        <v>365</v>
      </c>
      <c r="B173" s="2" t="s">
        <v>366</v>
      </c>
      <c r="C173" s="2" t="s">
        <v>54</v>
      </c>
      <c r="D173" s="2">
        <v>129</v>
      </c>
      <c r="E173" s="2">
        <v>1.1000000000000001</v>
      </c>
      <c r="F173" s="2" t="s">
        <v>28</v>
      </c>
      <c r="G173" s="2">
        <v>1995</v>
      </c>
      <c r="H173" s="2" t="s">
        <v>18</v>
      </c>
      <c r="I173" s="3">
        <v>45223</v>
      </c>
    </row>
    <row r="174" spans="1:9" ht="15.75" customHeight="1" x14ac:dyDescent="0.25">
      <c r="A174" s="2" t="s">
        <v>367</v>
      </c>
      <c r="B174" s="2" t="s">
        <v>368</v>
      </c>
      <c r="C174" s="2" t="s">
        <v>16</v>
      </c>
      <c r="D174" s="2">
        <v>171</v>
      </c>
      <c r="E174" s="2">
        <v>5.8</v>
      </c>
      <c r="F174" s="2" t="s">
        <v>28</v>
      </c>
      <c r="G174" s="2">
        <v>1982</v>
      </c>
      <c r="H174" s="2" t="s">
        <v>13</v>
      </c>
      <c r="I174" s="3">
        <v>44742</v>
      </c>
    </row>
    <row r="175" spans="1:9" ht="15.75" customHeight="1" x14ac:dyDescent="0.25">
      <c r="A175" s="2" t="s">
        <v>369</v>
      </c>
      <c r="B175" s="2" t="s">
        <v>370</v>
      </c>
      <c r="C175" s="2" t="s">
        <v>11</v>
      </c>
      <c r="D175" s="2">
        <v>184</v>
      </c>
      <c r="E175" s="2">
        <v>5.0999999999999996</v>
      </c>
      <c r="F175" s="2" t="s">
        <v>49</v>
      </c>
      <c r="G175" s="2">
        <v>2016</v>
      </c>
      <c r="H175" s="2" t="s">
        <v>13</v>
      </c>
      <c r="I175" s="3">
        <v>43850</v>
      </c>
    </row>
    <row r="176" spans="1:9" ht="15.75" customHeight="1" x14ac:dyDescent="0.25">
      <c r="A176" s="2" t="s">
        <v>371</v>
      </c>
      <c r="B176" s="2" t="s">
        <v>372</v>
      </c>
      <c r="C176" s="2" t="s">
        <v>11</v>
      </c>
      <c r="D176" s="2">
        <v>67</v>
      </c>
      <c r="E176" s="2">
        <v>7.1</v>
      </c>
      <c r="F176" s="2" t="s">
        <v>17</v>
      </c>
      <c r="G176" s="2">
        <v>2024</v>
      </c>
      <c r="H176" s="2" t="s">
        <v>18</v>
      </c>
      <c r="I176" s="3">
        <v>43847</v>
      </c>
    </row>
    <row r="177" spans="1:9" ht="15.75" customHeight="1" x14ac:dyDescent="0.25">
      <c r="A177" s="2" t="s">
        <v>373</v>
      </c>
      <c r="B177" s="2" t="s">
        <v>374</v>
      </c>
      <c r="C177" s="2" t="s">
        <v>27</v>
      </c>
      <c r="D177" s="2">
        <v>159</v>
      </c>
      <c r="E177" s="2">
        <v>7.1</v>
      </c>
      <c r="F177" s="2" t="s">
        <v>17</v>
      </c>
      <c r="G177" s="2">
        <v>1987</v>
      </c>
      <c r="H177" s="2" t="s">
        <v>13</v>
      </c>
      <c r="I177" s="3">
        <v>45255</v>
      </c>
    </row>
    <row r="178" spans="1:9" ht="15.75" customHeight="1" x14ac:dyDescent="0.25">
      <c r="A178" s="2" t="s">
        <v>375</v>
      </c>
      <c r="B178" s="2" t="s">
        <v>376</v>
      </c>
      <c r="C178" s="2" t="s">
        <v>46</v>
      </c>
      <c r="D178" s="2">
        <v>146</v>
      </c>
      <c r="E178" s="2">
        <v>6.3</v>
      </c>
      <c r="F178" s="2" t="s">
        <v>28</v>
      </c>
      <c r="G178" s="2">
        <v>1992</v>
      </c>
      <c r="H178" s="2" t="s">
        <v>13</v>
      </c>
      <c r="I178" s="3">
        <v>44534</v>
      </c>
    </row>
    <row r="179" spans="1:9" ht="15.75" customHeight="1" x14ac:dyDescent="0.25">
      <c r="A179" s="2" t="s">
        <v>377</v>
      </c>
      <c r="B179" s="2" t="s">
        <v>378</v>
      </c>
      <c r="C179" s="2" t="s">
        <v>31</v>
      </c>
      <c r="D179" s="2">
        <v>163</v>
      </c>
      <c r="E179" s="2">
        <v>8.4</v>
      </c>
      <c r="F179" s="2" t="s">
        <v>12</v>
      </c>
      <c r="G179" s="2">
        <v>1981</v>
      </c>
      <c r="H179" s="2" t="s">
        <v>13</v>
      </c>
      <c r="I179" s="3">
        <v>45504</v>
      </c>
    </row>
    <row r="180" spans="1:9" ht="15.75" customHeight="1" x14ac:dyDescent="0.25">
      <c r="A180" s="2" t="s">
        <v>379</v>
      </c>
      <c r="B180" s="2" t="s">
        <v>380</v>
      </c>
      <c r="C180" s="2" t="s">
        <v>46</v>
      </c>
      <c r="D180" s="2">
        <v>102</v>
      </c>
      <c r="E180" s="2">
        <v>9.5</v>
      </c>
      <c r="F180" s="2" t="s">
        <v>17</v>
      </c>
      <c r="G180" s="2">
        <v>2008</v>
      </c>
      <c r="H180" s="2" t="s">
        <v>18</v>
      </c>
      <c r="I180" s="3">
        <v>44077</v>
      </c>
    </row>
    <row r="181" spans="1:9" ht="15.75" customHeight="1" x14ac:dyDescent="0.25">
      <c r="A181" s="2" t="s">
        <v>381</v>
      </c>
      <c r="B181" s="2" t="s">
        <v>382</v>
      </c>
      <c r="C181" s="2" t="s">
        <v>16</v>
      </c>
      <c r="D181" s="2">
        <v>179</v>
      </c>
      <c r="E181" s="2">
        <v>2</v>
      </c>
      <c r="F181" s="2" t="s">
        <v>17</v>
      </c>
      <c r="G181" s="2">
        <v>2000</v>
      </c>
      <c r="H181" s="2" t="s">
        <v>18</v>
      </c>
      <c r="I181" s="3">
        <v>44695</v>
      </c>
    </row>
    <row r="182" spans="1:9" ht="15.75" customHeight="1" x14ac:dyDescent="0.25">
      <c r="A182" s="2" t="s">
        <v>383</v>
      </c>
      <c r="B182" s="2" t="s">
        <v>384</v>
      </c>
      <c r="C182" s="2" t="s">
        <v>11</v>
      </c>
      <c r="D182" s="2">
        <v>92</v>
      </c>
      <c r="E182" s="2">
        <v>3.1</v>
      </c>
      <c r="F182" s="2" t="s">
        <v>21</v>
      </c>
      <c r="G182" s="2">
        <v>2006</v>
      </c>
      <c r="H182" s="2" t="s">
        <v>18</v>
      </c>
      <c r="I182" s="3">
        <v>45252</v>
      </c>
    </row>
    <row r="183" spans="1:9" ht="15.75" customHeight="1" x14ac:dyDescent="0.25">
      <c r="A183" s="2" t="s">
        <v>385</v>
      </c>
      <c r="B183" s="2" t="s">
        <v>386</v>
      </c>
      <c r="C183" s="2" t="s">
        <v>27</v>
      </c>
      <c r="D183" s="2">
        <v>196</v>
      </c>
      <c r="E183" s="2">
        <v>1.2</v>
      </c>
      <c r="F183" s="2" t="s">
        <v>12</v>
      </c>
      <c r="G183" s="2">
        <v>1989</v>
      </c>
      <c r="H183" s="2" t="s">
        <v>18</v>
      </c>
      <c r="I183" s="3">
        <v>44101</v>
      </c>
    </row>
    <row r="184" spans="1:9" ht="15.75" customHeight="1" x14ac:dyDescent="0.25">
      <c r="A184" s="2" t="s">
        <v>387</v>
      </c>
      <c r="B184" s="2" t="s">
        <v>388</v>
      </c>
      <c r="C184" s="2" t="s">
        <v>11</v>
      </c>
      <c r="D184" s="2">
        <v>66</v>
      </c>
      <c r="E184" s="2">
        <v>9</v>
      </c>
      <c r="F184" s="2" t="s">
        <v>21</v>
      </c>
      <c r="G184" s="2">
        <v>2006</v>
      </c>
      <c r="H184" s="2" t="s">
        <v>13</v>
      </c>
      <c r="I184" s="3">
        <v>44809</v>
      </c>
    </row>
    <row r="185" spans="1:9" ht="15.75" customHeight="1" x14ac:dyDescent="0.25">
      <c r="A185" s="2" t="s">
        <v>389</v>
      </c>
      <c r="B185" s="2" t="s">
        <v>390</v>
      </c>
      <c r="C185" s="2" t="s">
        <v>46</v>
      </c>
      <c r="D185" s="2">
        <v>160</v>
      </c>
      <c r="E185" s="2">
        <v>6.1</v>
      </c>
      <c r="F185" s="2" t="s">
        <v>24</v>
      </c>
      <c r="G185" s="2">
        <v>2024</v>
      </c>
      <c r="H185" s="2" t="s">
        <v>13</v>
      </c>
      <c r="I185" s="3">
        <v>43976</v>
      </c>
    </row>
    <row r="186" spans="1:9" ht="15.75" customHeight="1" x14ac:dyDescent="0.25">
      <c r="A186" s="2" t="s">
        <v>391</v>
      </c>
      <c r="B186" s="2" t="s">
        <v>392</v>
      </c>
      <c r="C186" s="2" t="s">
        <v>46</v>
      </c>
      <c r="D186" s="2">
        <v>66</v>
      </c>
      <c r="E186" s="2">
        <v>9.1999999999999993</v>
      </c>
      <c r="F186" s="2" t="s">
        <v>49</v>
      </c>
      <c r="G186" s="2">
        <v>1993</v>
      </c>
      <c r="H186" s="2" t="s">
        <v>13</v>
      </c>
      <c r="I186" s="3">
        <v>44299</v>
      </c>
    </row>
    <row r="187" spans="1:9" ht="15.75" customHeight="1" x14ac:dyDescent="0.25">
      <c r="A187" s="2" t="s">
        <v>393</v>
      </c>
      <c r="B187" s="2" t="s">
        <v>394</v>
      </c>
      <c r="C187" s="2" t="s">
        <v>31</v>
      </c>
      <c r="D187" s="2">
        <v>81</v>
      </c>
      <c r="E187" s="2">
        <v>3</v>
      </c>
      <c r="F187" s="2" t="s">
        <v>28</v>
      </c>
      <c r="G187" s="2">
        <v>2006</v>
      </c>
      <c r="H187" s="2" t="s">
        <v>13</v>
      </c>
      <c r="I187" s="3">
        <v>44615</v>
      </c>
    </row>
    <row r="188" spans="1:9" ht="15.75" customHeight="1" x14ac:dyDescent="0.25">
      <c r="A188" s="2" t="s">
        <v>395</v>
      </c>
      <c r="B188" s="2" t="s">
        <v>396</v>
      </c>
      <c r="C188" s="2" t="s">
        <v>31</v>
      </c>
      <c r="D188" s="2">
        <v>169</v>
      </c>
      <c r="E188" s="2">
        <v>1.6</v>
      </c>
      <c r="F188" s="2" t="s">
        <v>17</v>
      </c>
      <c r="G188" s="2">
        <v>2012</v>
      </c>
      <c r="H188" s="2" t="s">
        <v>18</v>
      </c>
      <c r="I188" s="3">
        <v>44013</v>
      </c>
    </row>
    <row r="189" spans="1:9" ht="15.75" customHeight="1" x14ac:dyDescent="0.25">
      <c r="A189" s="2" t="s">
        <v>397</v>
      </c>
      <c r="B189" s="2" t="s">
        <v>398</v>
      </c>
      <c r="C189" s="2" t="s">
        <v>27</v>
      </c>
      <c r="D189" s="2">
        <v>94</v>
      </c>
      <c r="E189" s="2">
        <v>8.4</v>
      </c>
      <c r="F189" s="2" t="s">
        <v>24</v>
      </c>
      <c r="G189" s="2">
        <v>2019</v>
      </c>
      <c r="H189" s="2" t="s">
        <v>18</v>
      </c>
      <c r="I189" s="3">
        <v>45327</v>
      </c>
    </row>
    <row r="190" spans="1:9" ht="15.75" customHeight="1" x14ac:dyDescent="0.25">
      <c r="A190" s="2" t="s">
        <v>399</v>
      </c>
      <c r="B190" s="2" t="s">
        <v>400</v>
      </c>
      <c r="C190" s="2" t="s">
        <v>31</v>
      </c>
      <c r="D190" s="2">
        <v>178</v>
      </c>
      <c r="E190" s="2">
        <v>9.1999999999999993</v>
      </c>
      <c r="F190" s="2" t="s">
        <v>21</v>
      </c>
      <c r="G190" s="2">
        <v>2010</v>
      </c>
      <c r="H190" s="2" t="s">
        <v>18</v>
      </c>
      <c r="I190" s="3">
        <v>45481</v>
      </c>
    </row>
    <row r="191" spans="1:9" ht="15.75" customHeight="1" x14ac:dyDescent="0.25">
      <c r="A191" s="2" t="s">
        <v>401</v>
      </c>
      <c r="B191" s="2" t="s">
        <v>402</v>
      </c>
      <c r="C191" s="2" t="s">
        <v>46</v>
      </c>
      <c r="D191" s="2">
        <v>106</v>
      </c>
      <c r="E191" s="2">
        <v>3.7</v>
      </c>
      <c r="F191" s="2" t="s">
        <v>17</v>
      </c>
      <c r="G191" s="2">
        <v>1983</v>
      </c>
      <c r="H191" s="2" t="s">
        <v>13</v>
      </c>
      <c r="I191" s="3">
        <v>44040</v>
      </c>
    </row>
    <row r="192" spans="1:9" ht="15.75" customHeight="1" x14ac:dyDescent="0.25">
      <c r="A192" s="2" t="s">
        <v>403</v>
      </c>
      <c r="B192" s="2" t="s">
        <v>404</v>
      </c>
      <c r="C192" s="2" t="s">
        <v>46</v>
      </c>
      <c r="D192" s="2">
        <v>72</v>
      </c>
      <c r="E192" s="2">
        <v>4.7</v>
      </c>
      <c r="F192" s="2" t="s">
        <v>49</v>
      </c>
      <c r="G192" s="2">
        <v>2025</v>
      </c>
      <c r="H192" s="2" t="s">
        <v>13</v>
      </c>
      <c r="I192" s="3">
        <v>44042</v>
      </c>
    </row>
    <row r="193" spans="1:9" ht="15.75" customHeight="1" x14ac:dyDescent="0.25">
      <c r="A193" s="2" t="s">
        <v>405</v>
      </c>
      <c r="B193" s="2" t="s">
        <v>406</v>
      </c>
      <c r="C193" s="2" t="s">
        <v>16</v>
      </c>
      <c r="D193" s="2">
        <v>126</v>
      </c>
      <c r="E193" s="2">
        <v>2.2999999999999998</v>
      </c>
      <c r="F193" s="2" t="s">
        <v>21</v>
      </c>
      <c r="G193" s="2">
        <v>1988</v>
      </c>
      <c r="H193" s="2" t="s">
        <v>13</v>
      </c>
      <c r="I193" s="3">
        <v>44472</v>
      </c>
    </row>
    <row r="194" spans="1:9" ht="15.75" customHeight="1" x14ac:dyDescent="0.25">
      <c r="A194" s="2" t="s">
        <v>407</v>
      </c>
      <c r="B194" s="2" t="s">
        <v>408</v>
      </c>
      <c r="C194" s="2" t="s">
        <v>46</v>
      </c>
      <c r="D194" s="2">
        <v>157</v>
      </c>
      <c r="E194" s="2">
        <v>9.5</v>
      </c>
      <c r="F194" s="2" t="s">
        <v>12</v>
      </c>
      <c r="G194" s="2">
        <v>2013</v>
      </c>
      <c r="H194" s="2" t="s">
        <v>13</v>
      </c>
      <c r="I194" s="3">
        <v>44583</v>
      </c>
    </row>
    <row r="195" spans="1:9" ht="15.75" customHeight="1" x14ac:dyDescent="0.25">
      <c r="A195" s="2" t="s">
        <v>409</v>
      </c>
      <c r="B195" s="2" t="s">
        <v>410</v>
      </c>
      <c r="C195" s="2" t="s">
        <v>27</v>
      </c>
      <c r="D195" s="2">
        <v>143</v>
      </c>
      <c r="E195" s="2">
        <v>3.7</v>
      </c>
      <c r="F195" s="2" t="s">
        <v>12</v>
      </c>
      <c r="G195" s="2">
        <v>1993</v>
      </c>
      <c r="H195" s="2" t="s">
        <v>18</v>
      </c>
      <c r="I195" s="3">
        <v>44443</v>
      </c>
    </row>
    <row r="196" spans="1:9" ht="15.75" customHeight="1" x14ac:dyDescent="0.25">
      <c r="A196" s="2" t="s">
        <v>411</v>
      </c>
      <c r="B196" s="2" t="s">
        <v>412</v>
      </c>
      <c r="C196" s="2" t="s">
        <v>54</v>
      </c>
      <c r="D196" s="2">
        <v>114</v>
      </c>
      <c r="E196" s="2">
        <v>5.4</v>
      </c>
      <c r="F196" s="2" t="s">
        <v>28</v>
      </c>
      <c r="G196" s="2">
        <v>2015</v>
      </c>
      <c r="H196" s="2" t="s">
        <v>18</v>
      </c>
      <c r="I196" s="3">
        <v>44111</v>
      </c>
    </row>
    <row r="197" spans="1:9" ht="15.75" customHeight="1" x14ac:dyDescent="0.25">
      <c r="A197" s="2" t="s">
        <v>413</v>
      </c>
      <c r="B197" s="2" t="s">
        <v>414</v>
      </c>
      <c r="C197" s="2" t="s">
        <v>16</v>
      </c>
      <c r="D197" s="2">
        <v>176</v>
      </c>
      <c r="E197" s="2">
        <v>1.9</v>
      </c>
      <c r="F197" s="2" t="s">
        <v>17</v>
      </c>
      <c r="G197" s="2">
        <v>2000</v>
      </c>
      <c r="H197" s="2" t="s">
        <v>13</v>
      </c>
      <c r="I197" s="3">
        <v>44614</v>
      </c>
    </row>
    <row r="198" spans="1:9" ht="15.75" customHeight="1" x14ac:dyDescent="0.25">
      <c r="A198" s="2" t="s">
        <v>415</v>
      </c>
      <c r="B198" s="2" t="s">
        <v>416</v>
      </c>
      <c r="C198" s="2" t="s">
        <v>16</v>
      </c>
      <c r="D198" s="2">
        <v>143</v>
      </c>
      <c r="E198" s="2">
        <v>9</v>
      </c>
      <c r="F198" s="2" t="s">
        <v>24</v>
      </c>
      <c r="G198" s="2">
        <v>2022</v>
      </c>
      <c r="H198" s="2" t="s">
        <v>13</v>
      </c>
      <c r="I198" s="3">
        <v>45415</v>
      </c>
    </row>
    <row r="199" spans="1:9" ht="15.75" customHeight="1" x14ac:dyDescent="0.25">
      <c r="A199" s="2" t="s">
        <v>417</v>
      </c>
      <c r="B199" s="2" t="s">
        <v>418</v>
      </c>
      <c r="C199" s="2" t="s">
        <v>27</v>
      </c>
      <c r="D199" s="2">
        <v>146</v>
      </c>
      <c r="E199" s="2">
        <v>2.2000000000000002</v>
      </c>
      <c r="F199" s="2" t="s">
        <v>28</v>
      </c>
      <c r="G199" s="2">
        <v>2010</v>
      </c>
      <c r="H199" s="2" t="s">
        <v>18</v>
      </c>
      <c r="I199" s="3">
        <v>45496</v>
      </c>
    </row>
    <row r="200" spans="1:9" ht="15.75" customHeight="1" x14ac:dyDescent="0.25">
      <c r="A200" s="2" t="s">
        <v>419</v>
      </c>
      <c r="B200" s="2" t="s">
        <v>420</v>
      </c>
      <c r="C200" s="2" t="s">
        <v>27</v>
      </c>
      <c r="D200" s="2">
        <v>157</v>
      </c>
      <c r="E200" s="2">
        <v>5.0999999999999996</v>
      </c>
      <c r="F200" s="2" t="s">
        <v>17</v>
      </c>
      <c r="G200" s="2">
        <v>2013</v>
      </c>
      <c r="H200" s="2" t="s">
        <v>13</v>
      </c>
      <c r="I200" s="3">
        <v>45373</v>
      </c>
    </row>
    <row r="201" spans="1:9" ht="15.75" customHeight="1" x14ac:dyDescent="0.25">
      <c r="A201" s="2" t="s">
        <v>421</v>
      </c>
      <c r="B201" s="2" t="s">
        <v>422</v>
      </c>
      <c r="C201" s="2" t="s">
        <v>31</v>
      </c>
      <c r="D201" s="2">
        <v>131</v>
      </c>
      <c r="E201" s="2">
        <v>7</v>
      </c>
      <c r="F201" s="2" t="s">
        <v>17</v>
      </c>
      <c r="G201" s="2">
        <v>2004</v>
      </c>
      <c r="H201" s="2" t="s">
        <v>13</v>
      </c>
      <c r="I201" s="3">
        <v>44103</v>
      </c>
    </row>
    <row r="202" spans="1:9" ht="15.75" customHeight="1" x14ac:dyDescent="0.25">
      <c r="A202" s="2" t="s">
        <v>423</v>
      </c>
      <c r="B202" s="2" t="s">
        <v>424</v>
      </c>
      <c r="C202" s="2" t="s">
        <v>16</v>
      </c>
      <c r="D202" s="2">
        <v>167</v>
      </c>
      <c r="E202" s="2">
        <v>7.7</v>
      </c>
      <c r="F202" s="2" t="s">
        <v>17</v>
      </c>
      <c r="G202" s="2">
        <v>2000</v>
      </c>
      <c r="H202" s="2" t="s">
        <v>18</v>
      </c>
      <c r="I202" s="3">
        <v>45144</v>
      </c>
    </row>
    <row r="203" spans="1:9" ht="15.75" customHeight="1" x14ac:dyDescent="0.25">
      <c r="A203" s="2" t="s">
        <v>425</v>
      </c>
      <c r="B203" s="2" t="s">
        <v>426</v>
      </c>
      <c r="C203" s="2" t="s">
        <v>31</v>
      </c>
      <c r="D203" s="2">
        <v>124</v>
      </c>
      <c r="E203" s="2">
        <v>9.5</v>
      </c>
      <c r="F203" s="2" t="s">
        <v>17</v>
      </c>
      <c r="G203" s="2">
        <v>1991</v>
      </c>
      <c r="H203" s="2" t="s">
        <v>13</v>
      </c>
      <c r="I203" s="3">
        <v>45217</v>
      </c>
    </row>
    <row r="204" spans="1:9" ht="15.75" customHeight="1" x14ac:dyDescent="0.25">
      <c r="A204" s="2" t="s">
        <v>427</v>
      </c>
      <c r="B204" s="2" t="s">
        <v>428</v>
      </c>
      <c r="C204" s="2" t="s">
        <v>46</v>
      </c>
      <c r="D204" s="2">
        <v>80</v>
      </c>
      <c r="E204" s="2">
        <v>4.8</v>
      </c>
      <c r="F204" s="2" t="s">
        <v>17</v>
      </c>
      <c r="G204" s="2">
        <v>2009</v>
      </c>
      <c r="H204" s="2" t="s">
        <v>13</v>
      </c>
      <c r="I204" s="3">
        <v>44123</v>
      </c>
    </row>
    <row r="205" spans="1:9" ht="15.75" customHeight="1" x14ac:dyDescent="0.25">
      <c r="A205" s="2" t="s">
        <v>429</v>
      </c>
      <c r="B205" s="2" t="s">
        <v>430</v>
      </c>
      <c r="C205" s="2" t="s">
        <v>16</v>
      </c>
      <c r="D205" s="2">
        <v>180</v>
      </c>
      <c r="E205" s="2">
        <v>7.7</v>
      </c>
      <c r="F205" s="2" t="s">
        <v>28</v>
      </c>
      <c r="G205" s="2">
        <v>2014</v>
      </c>
      <c r="H205" s="2" t="s">
        <v>13</v>
      </c>
      <c r="I205" s="3">
        <v>43971</v>
      </c>
    </row>
    <row r="206" spans="1:9" ht="15.75" customHeight="1" x14ac:dyDescent="0.25">
      <c r="A206" s="2" t="s">
        <v>431</v>
      </c>
      <c r="B206" s="2" t="s">
        <v>432</v>
      </c>
      <c r="C206" s="2" t="s">
        <v>16</v>
      </c>
      <c r="D206" s="2">
        <v>64</v>
      </c>
      <c r="E206" s="2">
        <v>2.4</v>
      </c>
      <c r="F206" s="2" t="s">
        <v>49</v>
      </c>
      <c r="G206" s="2">
        <v>2001</v>
      </c>
      <c r="H206" s="2" t="s">
        <v>18</v>
      </c>
      <c r="I206" s="3">
        <v>44917</v>
      </c>
    </row>
    <row r="207" spans="1:9" ht="15.75" customHeight="1" x14ac:dyDescent="0.25">
      <c r="A207" s="2" t="s">
        <v>433</v>
      </c>
      <c r="B207" s="2" t="s">
        <v>434</v>
      </c>
      <c r="C207" s="2" t="s">
        <v>11</v>
      </c>
      <c r="D207" s="2">
        <v>198</v>
      </c>
      <c r="E207" s="2">
        <v>4.7</v>
      </c>
      <c r="F207" s="2" t="s">
        <v>49</v>
      </c>
      <c r="G207" s="2">
        <v>2014</v>
      </c>
      <c r="H207" s="2" t="s">
        <v>13</v>
      </c>
      <c r="I207" s="3">
        <v>44984</v>
      </c>
    </row>
    <row r="208" spans="1:9" ht="15.75" customHeight="1" x14ac:dyDescent="0.25">
      <c r="A208" s="2" t="s">
        <v>435</v>
      </c>
      <c r="B208" s="2" t="s">
        <v>436</v>
      </c>
      <c r="C208" s="2" t="s">
        <v>54</v>
      </c>
      <c r="D208" s="2">
        <v>73</v>
      </c>
      <c r="E208" s="2">
        <v>1.9</v>
      </c>
      <c r="F208" s="2" t="s">
        <v>28</v>
      </c>
      <c r="G208" s="2">
        <v>2002</v>
      </c>
      <c r="H208" s="2" t="s">
        <v>18</v>
      </c>
      <c r="I208" s="3">
        <v>43848</v>
      </c>
    </row>
    <row r="209" spans="1:9" ht="15.75" customHeight="1" x14ac:dyDescent="0.25">
      <c r="A209" s="2" t="s">
        <v>437</v>
      </c>
      <c r="B209" s="2" t="s">
        <v>438</v>
      </c>
      <c r="C209" s="2" t="s">
        <v>16</v>
      </c>
      <c r="D209" s="2">
        <v>149</v>
      </c>
      <c r="E209" s="2">
        <v>5.4</v>
      </c>
      <c r="F209" s="2" t="s">
        <v>12</v>
      </c>
      <c r="G209" s="2">
        <v>2023</v>
      </c>
      <c r="H209" s="2" t="s">
        <v>13</v>
      </c>
      <c r="I209" s="3">
        <v>45080</v>
      </c>
    </row>
    <row r="210" spans="1:9" ht="15.75" customHeight="1" x14ac:dyDescent="0.25">
      <c r="A210" s="2" t="s">
        <v>439</v>
      </c>
      <c r="B210" s="2" t="s">
        <v>440</v>
      </c>
      <c r="C210" s="2" t="s">
        <v>46</v>
      </c>
      <c r="D210" s="2">
        <v>117</v>
      </c>
      <c r="E210" s="2">
        <v>4.7</v>
      </c>
      <c r="F210" s="2" t="s">
        <v>49</v>
      </c>
      <c r="G210" s="2">
        <v>2023</v>
      </c>
      <c r="H210" s="2" t="s">
        <v>13</v>
      </c>
      <c r="I210" s="3">
        <v>45162</v>
      </c>
    </row>
    <row r="211" spans="1:9" ht="15.75" customHeight="1" x14ac:dyDescent="0.25">
      <c r="A211" s="2" t="s">
        <v>441</v>
      </c>
      <c r="B211" s="2" t="s">
        <v>442</v>
      </c>
      <c r="C211" s="2" t="s">
        <v>31</v>
      </c>
      <c r="D211" s="2">
        <v>77</v>
      </c>
      <c r="E211" s="2">
        <v>9.6</v>
      </c>
      <c r="F211" s="2" t="s">
        <v>24</v>
      </c>
      <c r="G211" s="2">
        <v>2021</v>
      </c>
      <c r="H211" s="2" t="s">
        <v>18</v>
      </c>
      <c r="I211" s="3">
        <v>44167</v>
      </c>
    </row>
    <row r="212" spans="1:9" ht="15.75" customHeight="1" x14ac:dyDescent="0.25">
      <c r="A212" s="2" t="s">
        <v>443</v>
      </c>
      <c r="B212" s="2" t="s">
        <v>444</v>
      </c>
      <c r="C212" s="2" t="s">
        <v>31</v>
      </c>
      <c r="D212" s="2">
        <v>70</v>
      </c>
      <c r="E212" s="2">
        <v>1.3</v>
      </c>
      <c r="F212" s="2" t="s">
        <v>24</v>
      </c>
      <c r="G212" s="2">
        <v>2024</v>
      </c>
      <c r="H212" s="2" t="s">
        <v>18</v>
      </c>
      <c r="I212" s="3">
        <v>44732</v>
      </c>
    </row>
    <row r="213" spans="1:9" ht="15.75" customHeight="1" x14ac:dyDescent="0.25">
      <c r="A213" s="2" t="s">
        <v>445</v>
      </c>
      <c r="B213" s="2" t="s">
        <v>446</v>
      </c>
      <c r="C213" s="2" t="s">
        <v>11</v>
      </c>
      <c r="D213" s="2">
        <v>67</v>
      </c>
      <c r="E213" s="2">
        <v>4.3</v>
      </c>
      <c r="F213" s="2" t="s">
        <v>12</v>
      </c>
      <c r="G213" s="2">
        <v>1996</v>
      </c>
      <c r="H213" s="2" t="s">
        <v>18</v>
      </c>
      <c r="I213" s="3">
        <v>44550</v>
      </c>
    </row>
    <row r="214" spans="1:9" ht="15.75" customHeight="1" x14ac:dyDescent="0.25">
      <c r="A214" s="2" t="s">
        <v>447</v>
      </c>
      <c r="B214" s="2" t="s">
        <v>448</v>
      </c>
      <c r="C214" s="2" t="s">
        <v>54</v>
      </c>
      <c r="D214" s="2">
        <v>123</v>
      </c>
      <c r="E214" s="2">
        <v>5</v>
      </c>
      <c r="F214" s="2" t="s">
        <v>28</v>
      </c>
      <c r="G214" s="2">
        <v>2019</v>
      </c>
      <c r="H214" s="2" t="s">
        <v>13</v>
      </c>
      <c r="I214" s="3">
        <v>45310</v>
      </c>
    </row>
    <row r="215" spans="1:9" ht="15.75" customHeight="1" x14ac:dyDescent="0.25">
      <c r="A215" s="2" t="s">
        <v>449</v>
      </c>
      <c r="B215" s="2" t="s">
        <v>450</v>
      </c>
      <c r="C215" s="2" t="s">
        <v>46</v>
      </c>
      <c r="D215" s="2">
        <v>111</v>
      </c>
      <c r="E215" s="2">
        <v>9.6</v>
      </c>
      <c r="F215" s="2" t="s">
        <v>24</v>
      </c>
      <c r="G215" s="2">
        <v>2010</v>
      </c>
      <c r="H215" s="2" t="s">
        <v>13</v>
      </c>
      <c r="I215" s="3">
        <v>44267</v>
      </c>
    </row>
    <row r="216" spans="1:9" ht="15.75" customHeight="1" x14ac:dyDescent="0.25">
      <c r="A216" s="2" t="s">
        <v>451</v>
      </c>
      <c r="B216" s="2" t="s">
        <v>452</v>
      </c>
      <c r="C216" s="2" t="s">
        <v>31</v>
      </c>
      <c r="D216" s="2">
        <v>65</v>
      </c>
      <c r="E216" s="2">
        <v>8.6999999999999993</v>
      </c>
      <c r="F216" s="2" t="s">
        <v>28</v>
      </c>
      <c r="G216" s="2">
        <v>1992</v>
      </c>
      <c r="H216" s="2" t="s">
        <v>18</v>
      </c>
      <c r="I216" s="3">
        <v>45117</v>
      </c>
    </row>
    <row r="217" spans="1:9" ht="15.75" customHeight="1" x14ac:dyDescent="0.25">
      <c r="A217" s="2" t="s">
        <v>453</v>
      </c>
      <c r="B217" s="2" t="s">
        <v>454</v>
      </c>
      <c r="C217" s="2" t="s">
        <v>27</v>
      </c>
      <c r="D217" s="2">
        <v>99</v>
      </c>
      <c r="E217" s="2">
        <v>1.9</v>
      </c>
      <c r="F217" s="2" t="s">
        <v>24</v>
      </c>
      <c r="G217" s="2">
        <v>1995</v>
      </c>
      <c r="H217" s="2" t="s">
        <v>13</v>
      </c>
      <c r="I217" s="3">
        <v>45363</v>
      </c>
    </row>
    <row r="218" spans="1:9" ht="15.75" customHeight="1" x14ac:dyDescent="0.25">
      <c r="A218" s="2" t="s">
        <v>455</v>
      </c>
      <c r="B218" s="2" t="s">
        <v>456</v>
      </c>
      <c r="C218" s="2" t="s">
        <v>46</v>
      </c>
      <c r="D218" s="2">
        <v>121</v>
      </c>
      <c r="E218" s="2">
        <v>7.2</v>
      </c>
      <c r="F218" s="2" t="s">
        <v>21</v>
      </c>
      <c r="G218" s="2">
        <v>1997</v>
      </c>
      <c r="H218" s="2" t="s">
        <v>13</v>
      </c>
      <c r="I218" s="3">
        <v>44141</v>
      </c>
    </row>
    <row r="219" spans="1:9" ht="15.75" customHeight="1" x14ac:dyDescent="0.25">
      <c r="A219" s="2" t="s">
        <v>457</v>
      </c>
      <c r="B219" s="2" t="s">
        <v>458</v>
      </c>
      <c r="C219" s="2" t="s">
        <v>46</v>
      </c>
      <c r="D219" s="2">
        <v>92</v>
      </c>
      <c r="E219" s="2">
        <v>5.9</v>
      </c>
      <c r="F219" s="2" t="s">
        <v>12</v>
      </c>
      <c r="G219" s="2">
        <v>2015</v>
      </c>
      <c r="H219" s="2" t="s">
        <v>18</v>
      </c>
      <c r="I219" s="3">
        <v>44674</v>
      </c>
    </row>
    <row r="220" spans="1:9" ht="15.75" customHeight="1" x14ac:dyDescent="0.25">
      <c r="A220" s="2" t="s">
        <v>459</v>
      </c>
      <c r="B220" s="2" t="s">
        <v>460</v>
      </c>
      <c r="C220" s="2" t="s">
        <v>54</v>
      </c>
      <c r="D220" s="2">
        <v>181</v>
      </c>
      <c r="E220" s="2">
        <v>9.8000000000000007</v>
      </c>
      <c r="F220" s="2" t="s">
        <v>12</v>
      </c>
      <c r="G220" s="2">
        <v>1999</v>
      </c>
      <c r="H220" s="2" t="s">
        <v>13</v>
      </c>
      <c r="I220" s="3">
        <v>45092</v>
      </c>
    </row>
    <row r="221" spans="1:9" ht="15.75" customHeight="1" x14ac:dyDescent="0.25">
      <c r="A221" s="2" t="s">
        <v>461</v>
      </c>
      <c r="B221" s="2" t="s">
        <v>462</v>
      </c>
      <c r="C221" s="2" t="s">
        <v>31</v>
      </c>
      <c r="D221" s="2">
        <v>89</v>
      </c>
      <c r="E221" s="2">
        <v>4.2</v>
      </c>
      <c r="F221" s="2" t="s">
        <v>12</v>
      </c>
      <c r="G221" s="2">
        <v>1994</v>
      </c>
      <c r="H221" s="2" t="s">
        <v>13</v>
      </c>
      <c r="I221" s="3">
        <v>45237</v>
      </c>
    </row>
    <row r="222" spans="1:9" ht="15.75" customHeight="1" x14ac:dyDescent="0.25">
      <c r="A222" s="2" t="s">
        <v>463</v>
      </c>
      <c r="B222" s="2" t="s">
        <v>464</v>
      </c>
      <c r="C222" s="2" t="s">
        <v>46</v>
      </c>
      <c r="D222" s="2">
        <v>115</v>
      </c>
      <c r="E222" s="2">
        <v>4.5999999999999996</v>
      </c>
      <c r="F222" s="2" t="s">
        <v>28</v>
      </c>
      <c r="G222" s="2">
        <v>1999</v>
      </c>
      <c r="H222" s="2" t="s">
        <v>18</v>
      </c>
      <c r="I222" s="3">
        <v>44737</v>
      </c>
    </row>
    <row r="223" spans="1:9" ht="15.75" customHeight="1" x14ac:dyDescent="0.25">
      <c r="A223" s="2" t="s">
        <v>465</v>
      </c>
      <c r="B223" s="2" t="s">
        <v>466</v>
      </c>
      <c r="C223" s="2" t="s">
        <v>11</v>
      </c>
      <c r="D223" s="2">
        <v>179</v>
      </c>
      <c r="E223" s="2">
        <v>2.7</v>
      </c>
      <c r="F223" s="2" t="s">
        <v>17</v>
      </c>
      <c r="G223" s="2">
        <v>1998</v>
      </c>
      <c r="H223" s="2" t="s">
        <v>18</v>
      </c>
      <c r="I223" s="3">
        <v>44275</v>
      </c>
    </row>
    <row r="224" spans="1:9" ht="15.75" customHeight="1" x14ac:dyDescent="0.25">
      <c r="A224" s="2" t="s">
        <v>467</v>
      </c>
      <c r="B224" s="2" t="s">
        <v>468</v>
      </c>
      <c r="C224" s="2" t="s">
        <v>11</v>
      </c>
      <c r="D224" s="2">
        <v>125</v>
      </c>
      <c r="E224" s="2">
        <v>2.1</v>
      </c>
      <c r="F224" s="2" t="s">
        <v>12</v>
      </c>
      <c r="G224" s="2">
        <v>2025</v>
      </c>
      <c r="H224" s="2" t="s">
        <v>18</v>
      </c>
      <c r="I224" s="3">
        <v>44008</v>
      </c>
    </row>
    <row r="225" spans="1:9" ht="15.75" customHeight="1" x14ac:dyDescent="0.25">
      <c r="A225" s="2" t="s">
        <v>469</v>
      </c>
      <c r="B225" s="2" t="s">
        <v>470</v>
      </c>
      <c r="C225" s="2" t="s">
        <v>31</v>
      </c>
      <c r="D225" s="2">
        <v>154</v>
      </c>
      <c r="E225" s="2">
        <v>8.6</v>
      </c>
      <c r="F225" s="2" t="s">
        <v>24</v>
      </c>
      <c r="G225" s="2">
        <v>1993</v>
      </c>
      <c r="H225" s="2" t="s">
        <v>13</v>
      </c>
      <c r="I225" s="3">
        <v>44036</v>
      </c>
    </row>
    <row r="226" spans="1:9" ht="15.75" customHeight="1" x14ac:dyDescent="0.25">
      <c r="A226" s="2" t="s">
        <v>471</v>
      </c>
      <c r="B226" s="2" t="s">
        <v>472</v>
      </c>
      <c r="C226" s="2" t="s">
        <v>11</v>
      </c>
      <c r="D226" s="2">
        <v>102</v>
      </c>
      <c r="E226" s="2">
        <v>5.0999999999999996</v>
      </c>
      <c r="F226" s="2" t="s">
        <v>21</v>
      </c>
      <c r="G226" s="2">
        <v>2024</v>
      </c>
      <c r="H226" s="2" t="s">
        <v>18</v>
      </c>
      <c r="I226" s="3">
        <v>44117</v>
      </c>
    </row>
    <row r="227" spans="1:9" ht="15.75" customHeight="1" x14ac:dyDescent="0.25">
      <c r="A227" s="2" t="s">
        <v>473</v>
      </c>
      <c r="B227" s="2" t="s">
        <v>474</v>
      </c>
      <c r="C227" s="2" t="s">
        <v>27</v>
      </c>
      <c r="D227" s="2">
        <v>89</v>
      </c>
      <c r="E227" s="2">
        <v>7</v>
      </c>
      <c r="F227" s="2" t="s">
        <v>28</v>
      </c>
      <c r="G227" s="2">
        <v>2025</v>
      </c>
      <c r="H227" s="2" t="s">
        <v>18</v>
      </c>
      <c r="I227" s="3">
        <v>45372</v>
      </c>
    </row>
    <row r="228" spans="1:9" ht="15.75" customHeight="1" x14ac:dyDescent="0.25">
      <c r="A228" s="2" t="s">
        <v>475</v>
      </c>
      <c r="B228" s="2" t="s">
        <v>476</v>
      </c>
      <c r="C228" s="2" t="s">
        <v>54</v>
      </c>
      <c r="D228" s="2">
        <v>101</v>
      </c>
      <c r="E228" s="2">
        <v>6.8</v>
      </c>
      <c r="F228" s="2" t="s">
        <v>24</v>
      </c>
      <c r="G228" s="2">
        <v>2011</v>
      </c>
      <c r="H228" s="2" t="s">
        <v>18</v>
      </c>
      <c r="I228" s="3">
        <v>44083</v>
      </c>
    </row>
    <row r="229" spans="1:9" ht="15.75" customHeight="1" x14ac:dyDescent="0.25">
      <c r="A229" s="2" t="s">
        <v>477</v>
      </c>
      <c r="B229" s="2" t="s">
        <v>478</v>
      </c>
      <c r="C229" s="2" t="s">
        <v>11</v>
      </c>
      <c r="D229" s="2">
        <v>139</v>
      </c>
      <c r="E229" s="2">
        <v>6.4</v>
      </c>
      <c r="F229" s="2" t="s">
        <v>17</v>
      </c>
      <c r="G229" s="2">
        <v>2000</v>
      </c>
      <c r="H229" s="2" t="s">
        <v>13</v>
      </c>
      <c r="I229" s="3">
        <v>45038</v>
      </c>
    </row>
    <row r="230" spans="1:9" ht="15.75" customHeight="1" x14ac:dyDescent="0.25">
      <c r="A230" s="2" t="s">
        <v>479</v>
      </c>
      <c r="B230" s="2" t="s">
        <v>480</v>
      </c>
      <c r="C230" s="2" t="s">
        <v>11</v>
      </c>
      <c r="D230" s="2">
        <v>87</v>
      </c>
      <c r="E230" s="2">
        <v>1.2</v>
      </c>
      <c r="F230" s="2" t="s">
        <v>24</v>
      </c>
      <c r="G230" s="2">
        <v>2010</v>
      </c>
      <c r="H230" s="2" t="s">
        <v>18</v>
      </c>
      <c r="I230" s="3">
        <v>45326</v>
      </c>
    </row>
    <row r="231" spans="1:9" ht="15.75" customHeight="1" x14ac:dyDescent="0.25">
      <c r="A231" s="2" t="s">
        <v>481</v>
      </c>
      <c r="B231" s="2" t="s">
        <v>482</v>
      </c>
      <c r="C231" s="2" t="s">
        <v>27</v>
      </c>
      <c r="D231" s="2">
        <v>66</v>
      </c>
      <c r="E231" s="2">
        <v>8.1</v>
      </c>
      <c r="F231" s="2" t="s">
        <v>12</v>
      </c>
      <c r="G231" s="2">
        <v>2002</v>
      </c>
      <c r="H231" s="2" t="s">
        <v>18</v>
      </c>
      <c r="I231" s="3">
        <v>44617</v>
      </c>
    </row>
    <row r="232" spans="1:9" ht="15.75" customHeight="1" x14ac:dyDescent="0.25">
      <c r="A232" s="2" t="s">
        <v>483</v>
      </c>
      <c r="B232" s="2" t="s">
        <v>484</v>
      </c>
      <c r="C232" s="2" t="s">
        <v>54</v>
      </c>
      <c r="D232" s="2">
        <v>139</v>
      </c>
      <c r="E232" s="2">
        <v>3.2</v>
      </c>
      <c r="F232" s="2" t="s">
        <v>21</v>
      </c>
      <c r="G232" s="2">
        <v>2015</v>
      </c>
      <c r="H232" s="2" t="s">
        <v>18</v>
      </c>
      <c r="I232" s="3">
        <v>44550</v>
      </c>
    </row>
    <row r="233" spans="1:9" ht="15.75" customHeight="1" x14ac:dyDescent="0.25">
      <c r="A233" s="2" t="s">
        <v>485</v>
      </c>
      <c r="B233" s="2" t="s">
        <v>486</v>
      </c>
      <c r="C233" s="2" t="s">
        <v>46</v>
      </c>
      <c r="D233" s="2">
        <v>156</v>
      </c>
      <c r="E233" s="2">
        <v>2.1</v>
      </c>
      <c r="F233" s="2" t="s">
        <v>12</v>
      </c>
      <c r="G233" s="2">
        <v>1997</v>
      </c>
      <c r="H233" s="2" t="s">
        <v>13</v>
      </c>
      <c r="I233" s="3">
        <v>44710</v>
      </c>
    </row>
    <row r="234" spans="1:9" ht="15.75" customHeight="1" x14ac:dyDescent="0.25">
      <c r="A234" s="2" t="s">
        <v>487</v>
      </c>
      <c r="B234" s="2" t="s">
        <v>488</v>
      </c>
      <c r="C234" s="2" t="s">
        <v>54</v>
      </c>
      <c r="D234" s="2">
        <v>161</v>
      </c>
      <c r="E234" s="2">
        <v>6.1</v>
      </c>
      <c r="F234" s="2" t="s">
        <v>49</v>
      </c>
      <c r="G234" s="2">
        <v>1998</v>
      </c>
      <c r="H234" s="2" t="s">
        <v>18</v>
      </c>
      <c r="I234" s="3">
        <v>44475</v>
      </c>
    </row>
    <row r="235" spans="1:9" ht="15.75" customHeight="1" x14ac:dyDescent="0.25">
      <c r="A235" s="2" t="s">
        <v>489</v>
      </c>
      <c r="B235" s="2" t="s">
        <v>490</v>
      </c>
      <c r="C235" s="2" t="s">
        <v>16</v>
      </c>
      <c r="D235" s="2">
        <v>110</v>
      </c>
      <c r="E235" s="2">
        <v>1.6</v>
      </c>
      <c r="F235" s="2" t="s">
        <v>12</v>
      </c>
      <c r="G235" s="2">
        <v>1987</v>
      </c>
      <c r="H235" s="2" t="s">
        <v>13</v>
      </c>
      <c r="I235" s="3">
        <v>45451</v>
      </c>
    </row>
    <row r="236" spans="1:9" ht="15.75" customHeight="1" x14ac:dyDescent="0.25">
      <c r="A236" s="2" t="s">
        <v>491</v>
      </c>
      <c r="B236" s="2" t="s">
        <v>492</v>
      </c>
      <c r="C236" s="2" t="s">
        <v>31</v>
      </c>
      <c r="D236" s="2">
        <v>79</v>
      </c>
      <c r="E236" s="2">
        <v>7.9</v>
      </c>
      <c r="F236" s="2" t="s">
        <v>49</v>
      </c>
      <c r="G236" s="2">
        <v>2016</v>
      </c>
      <c r="H236" s="2" t="s">
        <v>18</v>
      </c>
      <c r="I236" s="3">
        <v>44117</v>
      </c>
    </row>
    <row r="237" spans="1:9" ht="15.75" customHeight="1" x14ac:dyDescent="0.25">
      <c r="A237" s="2" t="s">
        <v>493</v>
      </c>
      <c r="B237" s="2" t="s">
        <v>494</v>
      </c>
      <c r="C237" s="2" t="s">
        <v>31</v>
      </c>
      <c r="D237" s="2">
        <v>122</v>
      </c>
      <c r="E237" s="2">
        <v>2.9</v>
      </c>
      <c r="F237" s="2" t="s">
        <v>12</v>
      </c>
      <c r="G237" s="2">
        <v>2023</v>
      </c>
      <c r="H237" s="2" t="s">
        <v>13</v>
      </c>
      <c r="I237" s="3">
        <v>44338</v>
      </c>
    </row>
    <row r="238" spans="1:9" ht="15.75" customHeight="1" x14ac:dyDescent="0.25">
      <c r="A238" s="2" t="s">
        <v>495</v>
      </c>
      <c r="B238" s="2" t="s">
        <v>496</v>
      </c>
      <c r="C238" s="2" t="s">
        <v>16</v>
      </c>
      <c r="D238" s="2">
        <v>86</v>
      </c>
      <c r="E238" s="2">
        <v>2.9</v>
      </c>
      <c r="F238" s="2" t="s">
        <v>21</v>
      </c>
      <c r="G238" s="2">
        <v>2014</v>
      </c>
      <c r="H238" s="2" t="s">
        <v>13</v>
      </c>
      <c r="I238" s="3">
        <v>44398</v>
      </c>
    </row>
    <row r="239" spans="1:9" ht="15.75" customHeight="1" x14ac:dyDescent="0.25">
      <c r="A239" s="2" t="s">
        <v>497</v>
      </c>
      <c r="B239" s="2" t="s">
        <v>498</v>
      </c>
      <c r="C239" s="2" t="s">
        <v>27</v>
      </c>
      <c r="D239" s="2">
        <v>137</v>
      </c>
      <c r="E239" s="2">
        <v>8.8000000000000007</v>
      </c>
      <c r="F239" s="2" t="s">
        <v>21</v>
      </c>
      <c r="G239" s="2">
        <v>2004</v>
      </c>
      <c r="H239" s="2" t="s">
        <v>13</v>
      </c>
      <c r="I239" s="3">
        <v>45151</v>
      </c>
    </row>
    <row r="240" spans="1:9" ht="15.75" customHeight="1" x14ac:dyDescent="0.25">
      <c r="A240" s="2" t="s">
        <v>499</v>
      </c>
      <c r="B240" s="2" t="s">
        <v>500</v>
      </c>
      <c r="C240" s="2" t="s">
        <v>16</v>
      </c>
      <c r="D240" s="2">
        <v>90</v>
      </c>
      <c r="E240" s="2">
        <v>4</v>
      </c>
      <c r="F240" s="2" t="s">
        <v>28</v>
      </c>
      <c r="G240" s="2">
        <v>2005</v>
      </c>
      <c r="H240" s="2" t="s">
        <v>18</v>
      </c>
      <c r="I240" s="3">
        <v>44003</v>
      </c>
    </row>
    <row r="241" spans="1:9" ht="15.75" customHeight="1" x14ac:dyDescent="0.25">
      <c r="A241" s="2" t="s">
        <v>501</v>
      </c>
      <c r="B241" s="2" t="s">
        <v>502</v>
      </c>
      <c r="C241" s="2" t="s">
        <v>46</v>
      </c>
      <c r="D241" s="2">
        <v>70</v>
      </c>
      <c r="E241" s="2">
        <v>2.2999999999999998</v>
      </c>
      <c r="F241" s="2" t="s">
        <v>12</v>
      </c>
      <c r="G241" s="2">
        <v>2002</v>
      </c>
      <c r="H241" s="2" t="s">
        <v>13</v>
      </c>
      <c r="I241" s="3">
        <v>44339</v>
      </c>
    </row>
    <row r="242" spans="1:9" ht="15.75" customHeight="1" x14ac:dyDescent="0.25">
      <c r="A242" s="2" t="s">
        <v>503</v>
      </c>
      <c r="B242" s="2" t="s">
        <v>504</v>
      </c>
      <c r="C242" s="2" t="s">
        <v>46</v>
      </c>
      <c r="D242" s="2">
        <v>148</v>
      </c>
      <c r="E242" s="2">
        <v>9.1</v>
      </c>
      <c r="F242" s="2" t="s">
        <v>49</v>
      </c>
      <c r="G242" s="2">
        <v>1989</v>
      </c>
      <c r="H242" s="2" t="s">
        <v>18</v>
      </c>
      <c r="I242" s="3">
        <v>44964</v>
      </c>
    </row>
    <row r="243" spans="1:9" ht="15.75" customHeight="1" x14ac:dyDescent="0.25">
      <c r="A243" s="2" t="s">
        <v>505</v>
      </c>
      <c r="B243" s="2" t="s">
        <v>506</v>
      </c>
      <c r="C243" s="2" t="s">
        <v>31</v>
      </c>
      <c r="D243" s="2">
        <v>196</v>
      </c>
      <c r="E243" s="2">
        <v>1</v>
      </c>
      <c r="F243" s="2" t="s">
        <v>28</v>
      </c>
      <c r="G243" s="2">
        <v>1998</v>
      </c>
      <c r="H243" s="2" t="s">
        <v>13</v>
      </c>
      <c r="I243" s="3">
        <v>45061</v>
      </c>
    </row>
    <row r="244" spans="1:9" ht="15.75" customHeight="1" x14ac:dyDescent="0.25">
      <c r="A244" s="2" t="s">
        <v>507</v>
      </c>
      <c r="B244" s="2" t="s">
        <v>508</v>
      </c>
      <c r="C244" s="2" t="s">
        <v>46</v>
      </c>
      <c r="D244" s="2">
        <v>169</v>
      </c>
      <c r="E244" s="2">
        <v>8.6999999999999993</v>
      </c>
      <c r="F244" s="2" t="s">
        <v>24</v>
      </c>
      <c r="G244" s="2">
        <v>1982</v>
      </c>
      <c r="H244" s="2" t="s">
        <v>18</v>
      </c>
      <c r="I244" s="3">
        <v>45059</v>
      </c>
    </row>
    <row r="245" spans="1:9" ht="15.75" customHeight="1" x14ac:dyDescent="0.25">
      <c r="A245" s="2" t="s">
        <v>509</v>
      </c>
      <c r="B245" s="2" t="s">
        <v>510</v>
      </c>
      <c r="C245" s="2" t="s">
        <v>31</v>
      </c>
      <c r="D245" s="2">
        <v>154</v>
      </c>
      <c r="E245" s="2">
        <v>2.2999999999999998</v>
      </c>
      <c r="F245" s="2" t="s">
        <v>21</v>
      </c>
      <c r="G245" s="2">
        <v>1998</v>
      </c>
      <c r="H245" s="2" t="s">
        <v>18</v>
      </c>
      <c r="I245" s="3">
        <v>45307</v>
      </c>
    </row>
    <row r="246" spans="1:9" ht="15.75" customHeight="1" x14ac:dyDescent="0.25">
      <c r="A246" s="2" t="s">
        <v>511</v>
      </c>
      <c r="B246" s="2" t="s">
        <v>512</v>
      </c>
      <c r="C246" s="2" t="s">
        <v>16</v>
      </c>
      <c r="D246" s="2">
        <v>77</v>
      </c>
      <c r="E246" s="2">
        <v>2.2000000000000002</v>
      </c>
      <c r="F246" s="2" t="s">
        <v>28</v>
      </c>
      <c r="G246" s="2">
        <v>2025</v>
      </c>
      <c r="H246" s="2" t="s">
        <v>18</v>
      </c>
      <c r="I246" s="3">
        <v>45075</v>
      </c>
    </row>
    <row r="247" spans="1:9" ht="15.75" customHeight="1" x14ac:dyDescent="0.25">
      <c r="A247" s="2" t="s">
        <v>513</v>
      </c>
      <c r="B247" s="2" t="s">
        <v>514</v>
      </c>
      <c r="C247" s="2" t="s">
        <v>16</v>
      </c>
      <c r="D247" s="2">
        <v>189</v>
      </c>
      <c r="E247" s="2">
        <v>3.3</v>
      </c>
      <c r="F247" s="2" t="s">
        <v>21</v>
      </c>
      <c r="G247" s="2">
        <v>1985</v>
      </c>
      <c r="H247" s="2" t="s">
        <v>13</v>
      </c>
      <c r="I247" s="3">
        <v>44414</v>
      </c>
    </row>
    <row r="248" spans="1:9" ht="15.75" customHeight="1" x14ac:dyDescent="0.25">
      <c r="A248" s="2" t="s">
        <v>515</v>
      </c>
      <c r="B248" s="2" t="s">
        <v>516</v>
      </c>
      <c r="C248" s="2" t="s">
        <v>11</v>
      </c>
      <c r="D248" s="2">
        <v>147</v>
      </c>
      <c r="E248" s="2">
        <v>2.6</v>
      </c>
      <c r="F248" s="2" t="s">
        <v>28</v>
      </c>
      <c r="G248" s="2">
        <v>2002</v>
      </c>
      <c r="H248" s="2" t="s">
        <v>13</v>
      </c>
      <c r="I248" s="3">
        <v>45426</v>
      </c>
    </row>
    <row r="249" spans="1:9" ht="15.75" customHeight="1" x14ac:dyDescent="0.25">
      <c r="A249" s="2" t="s">
        <v>517</v>
      </c>
      <c r="B249" s="2" t="s">
        <v>518</v>
      </c>
      <c r="C249" s="2" t="s">
        <v>11</v>
      </c>
      <c r="D249" s="2">
        <v>63</v>
      </c>
      <c r="E249" s="2">
        <v>6.9</v>
      </c>
      <c r="F249" s="2" t="s">
        <v>24</v>
      </c>
      <c r="G249" s="2">
        <v>2008</v>
      </c>
      <c r="H249" s="2" t="s">
        <v>13</v>
      </c>
      <c r="I249" s="3">
        <v>45245</v>
      </c>
    </row>
    <row r="250" spans="1:9" ht="15.75" customHeight="1" x14ac:dyDescent="0.25">
      <c r="A250" s="2" t="s">
        <v>519</v>
      </c>
      <c r="B250" s="2" t="s">
        <v>520</v>
      </c>
      <c r="C250" s="2" t="s">
        <v>16</v>
      </c>
      <c r="D250" s="2">
        <v>167</v>
      </c>
      <c r="E250" s="2">
        <v>1.2</v>
      </c>
      <c r="F250" s="2" t="s">
        <v>24</v>
      </c>
      <c r="G250" s="2">
        <v>2021</v>
      </c>
      <c r="H250" s="2" t="s">
        <v>18</v>
      </c>
      <c r="I250" s="3">
        <v>43885</v>
      </c>
    </row>
    <row r="251" spans="1:9" ht="15.75" customHeight="1" x14ac:dyDescent="0.25">
      <c r="A251" s="2" t="s">
        <v>521</v>
      </c>
      <c r="B251" s="2" t="s">
        <v>522</v>
      </c>
      <c r="C251" s="2" t="s">
        <v>31</v>
      </c>
      <c r="D251" s="2">
        <v>185</v>
      </c>
      <c r="E251" s="2">
        <v>1.1000000000000001</v>
      </c>
      <c r="F251" s="2" t="s">
        <v>17</v>
      </c>
      <c r="G251" s="2">
        <v>1996</v>
      </c>
      <c r="H251" s="2" t="s">
        <v>18</v>
      </c>
      <c r="I251" s="3">
        <v>45179</v>
      </c>
    </row>
    <row r="252" spans="1:9" ht="15.75" customHeight="1" x14ac:dyDescent="0.25">
      <c r="A252" s="2" t="s">
        <v>523</v>
      </c>
      <c r="B252" s="2" t="s">
        <v>524</v>
      </c>
      <c r="C252" s="2" t="s">
        <v>16</v>
      </c>
      <c r="D252" s="2">
        <v>87</v>
      </c>
      <c r="E252" s="2">
        <v>8.1</v>
      </c>
      <c r="F252" s="2" t="s">
        <v>49</v>
      </c>
      <c r="G252" s="2">
        <v>2010</v>
      </c>
      <c r="H252" s="2" t="s">
        <v>18</v>
      </c>
      <c r="I252" s="3">
        <v>44448</v>
      </c>
    </row>
    <row r="253" spans="1:9" ht="15.75" customHeight="1" x14ac:dyDescent="0.25">
      <c r="A253" s="2" t="s">
        <v>525</v>
      </c>
      <c r="B253" s="2" t="s">
        <v>526</v>
      </c>
      <c r="C253" s="2" t="s">
        <v>16</v>
      </c>
      <c r="D253" s="2">
        <v>170</v>
      </c>
      <c r="E253" s="2">
        <v>3.1</v>
      </c>
      <c r="F253" s="2" t="s">
        <v>17</v>
      </c>
      <c r="G253" s="2">
        <v>1993</v>
      </c>
      <c r="H253" s="2" t="s">
        <v>18</v>
      </c>
      <c r="I253" s="3">
        <v>44251</v>
      </c>
    </row>
    <row r="254" spans="1:9" ht="15.75" customHeight="1" x14ac:dyDescent="0.25">
      <c r="A254" s="2" t="s">
        <v>527</v>
      </c>
      <c r="B254" s="2" t="s">
        <v>528</v>
      </c>
      <c r="C254" s="2" t="s">
        <v>27</v>
      </c>
      <c r="D254" s="2">
        <v>152</v>
      </c>
      <c r="E254" s="2">
        <v>3.9</v>
      </c>
      <c r="F254" s="2" t="s">
        <v>49</v>
      </c>
      <c r="G254" s="2">
        <v>1992</v>
      </c>
      <c r="H254" s="2" t="s">
        <v>13</v>
      </c>
      <c r="I254" s="3">
        <v>44891</v>
      </c>
    </row>
    <row r="255" spans="1:9" ht="15.75" customHeight="1" x14ac:dyDescent="0.25">
      <c r="A255" s="2" t="s">
        <v>529</v>
      </c>
      <c r="B255" s="2" t="s">
        <v>530</v>
      </c>
      <c r="C255" s="2" t="s">
        <v>16</v>
      </c>
      <c r="D255" s="2">
        <v>177</v>
      </c>
      <c r="E255" s="2">
        <v>2.6</v>
      </c>
      <c r="F255" s="2" t="s">
        <v>24</v>
      </c>
      <c r="G255" s="2">
        <v>2014</v>
      </c>
      <c r="H255" s="2" t="s">
        <v>13</v>
      </c>
      <c r="I255" s="3">
        <v>45073</v>
      </c>
    </row>
    <row r="256" spans="1:9" ht="15.75" customHeight="1" x14ac:dyDescent="0.25">
      <c r="A256" s="2" t="s">
        <v>531</v>
      </c>
      <c r="B256" s="2" t="s">
        <v>532</v>
      </c>
      <c r="C256" s="2" t="s">
        <v>46</v>
      </c>
      <c r="D256" s="2">
        <v>99</v>
      </c>
      <c r="E256" s="2">
        <v>1.5</v>
      </c>
      <c r="F256" s="2" t="s">
        <v>28</v>
      </c>
      <c r="G256" s="2">
        <v>1997</v>
      </c>
      <c r="H256" s="2" t="s">
        <v>13</v>
      </c>
      <c r="I256" s="3">
        <v>44874</v>
      </c>
    </row>
    <row r="257" spans="1:9" ht="15.75" customHeight="1" x14ac:dyDescent="0.25">
      <c r="A257" s="2" t="s">
        <v>533</v>
      </c>
      <c r="B257" s="2" t="s">
        <v>534</v>
      </c>
      <c r="C257" s="2" t="s">
        <v>31</v>
      </c>
      <c r="D257" s="2">
        <v>171</v>
      </c>
      <c r="E257" s="2">
        <v>7.7</v>
      </c>
      <c r="F257" s="2" t="s">
        <v>12</v>
      </c>
      <c r="G257" s="2">
        <v>2015</v>
      </c>
      <c r="H257" s="2" t="s">
        <v>13</v>
      </c>
      <c r="I257" s="3">
        <v>44217</v>
      </c>
    </row>
    <row r="258" spans="1:9" ht="15.75" customHeight="1" x14ac:dyDescent="0.25">
      <c r="A258" s="2" t="s">
        <v>535</v>
      </c>
      <c r="B258" s="2" t="s">
        <v>536</v>
      </c>
      <c r="C258" s="2" t="s">
        <v>27</v>
      </c>
      <c r="D258" s="2">
        <v>105</v>
      </c>
      <c r="E258" s="2">
        <v>5.7</v>
      </c>
      <c r="F258" s="2" t="s">
        <v>21</v>
      </c>
      <c r="G258" s="2">
        <v>2024</v>
      </c>
      <c r="H258" s="2" t="s">
        <v>18</v>
      </c>
      <c r="I258" s="3">
        <v>45362</v>
      </c>
    </row>
    <row r="259" spans="1:9" ht="15.75" customHeight="1" x14ac:dyDescent="0.25">
      <c r="A259" s="2" t="s">
        <v>537</v>
      </c>
      <c r="B259" s="2" t="s">
        <v>538</v>
      </c>
      <c r="C259" s="2" t="s">
        <v>11</v>
      </c>
      <c r="D259" s="2">
        <v>193</v>
      </c>
      <c r="E259" s="2">
        <v>7.7</v>
      </c>
      <c r="F259" s="2" t="s">
        <v>24</v>
      </c>
      <c r="G259" s="2">
        <v>1997</v>
      </c>
      <c r="H259" s="2" t="s">
        <v>18</v>
      </c>
      <c r="I259" s="3">
        <v>44633</v>
      </c>
    </row>
    <row r="260" spans="1:9" ht="15.75" customHeight="1" x14ac:dyDescent="0.25">
      <c r="A260" s="2" t="s">
        <v>539</v>
      </c>
      <c r="B260" s="2" t="s">
        <v>540</v>
      </c>
      <c r="C260" s="2" t="s">
        <v>54</v>
      </c>
      <c r="D260" s="2">
        <v>129</v>
      </c>
      <c r="E260" s="2">
        <v>5.3</v>
      </c>
      <c r="F260" s="2" t="s">
        <v>24</v>
      </c>
      <c r="G260" s="2">
        <v>1988</v>
      </c>
      <c r="H260" s="2" t="s">
        <v>18</v>
      </c>
      <c r="I260" s="3">
        <v>44436</v>
      </c>
    </row>
    <row r="261" spans="1:9" ht="15.75" customHeight="1" x14ac:dyDescent="0.25">
      <c r="A261" s="2" t="s">
        <v>541</v>
      </c>
      <c r="B261" s="2" t="s">
        <v>542</v>
      </c>
      <c r="C261" s="2" t="s">
        <v>31</v>
      </c>
      <c r="D261" s="2">
        <v>197</v>
      </c>
      <c r="E261" s="2">
        <v>8</v>
      </c>
      <c r="F261" s="2" t="s">
        <v>28</v>
      </c>
      <c r="G261" s="2">
        <v>1986</v>
      </c>
      <c r="H261" s="2" t="s">
        <v>13</v>
      </c>
      <c r="I261" s="3">
        <v>45154</v>
      </c>
    </row>
    <row r="262" spans="1:9" ht="15.75" customHeight="1" x14ac:dyDescent="0.25">
      <c r="A262" s="2" t="s">
        <v>543</v>
      </c>
      <c r="B262" s="2" t="s">
        <v>544</v>
      </c>
      <c r="C262" s="2" t="s">
        <v>46</v>
      </c>
      <c r="D262" s="2">
        <v>183</v>
      </c>
      <c r="E262" s="2">
        <v>5.6</v>
      </c>
      <c r="F262" s="2" t="s">
        <v>12</v>
      </c>
      <c r="G262" s="2">
        <v>2019</v>
      </c>
      <c r="H262" s="2" t="s">
        <v>13</v>
      </c>
      <c r="I262" s="3">
        <v>43942</v>
      </c>
    </row>
    <row r="263" spans="1:9" ht="15.75" customHeight="1" x14ac:dyDescent="0.25">
      <c r="A263" s="2" t="s">
        <v>545</v>
      </c>
      <c r="B263" s="2" t="s">
        <v>546</v>
      </c>
      <c r="C263" s="2" t="s">
        <v>31</v>
      </c>
      <c r="D263" s="2">
        <v>179</v>
      </c>
      <c r="E263" s="2">
        <v>2</v>
      </c>
      <c r="F263" s="2" t="s">
        <v>24</v>
      </c>
      <c r="G263" s="2">
        <v>2017</v>
      </c>
      <c r="H263" s="2" t="s">
        <v>13</v>
      </c>
      <c r="I263" s="3">
        <v>45436</v>
      </c>
    </row>
    <row r="264" spans="1:9" ht="15.75" customHeight="1" x14ac:dyDescent="0.25">
      <c r="A264" s="2" t="s">
        <v>547</v>
      </c>
      <c r="B264" s="2" t="s">
        <v>548</v>
      </c>
      <c r="C264" s="2" t="s">
        <v>11</v>
      </c>
      <c r="D264" s="2">
        <v>171</v>
      </c>
      <c r="E264" s="2">
        <v>5.5</v>
      </c>
      <c r="F264" s="2" t="s">
        <v>24</v>
      </c>
      <c r="G264" s="2">
        <v>1995</v>
      </c>
      <c r="H264" s="2" t="s">
        <v>18</v>
      </c>
      <c r="I264" s="3">
        <v>45456</v>
      </c>
    </row>
    <row r="265" spans="1:9" ht="15.75" customHeight="1" x14ac:dyDescent="0.25">
      <c r="A265" s="2" t="s">
        <v>549</v>
      </c>
      <c r="B265" s="2" t="s">
        <v>550</v>
      </c>
      <c r="C265" s="2" t="s">
        <v>46</v>
      </c>
      <c r="D265" s="2">
        <v>128</v>
      </c>
      <c r="E265" s="2">
        <v>9.5</v>
      </c>
      <c r="F265" s="2" t="s">
        <v>28</v>
      </c>
      <c r="G265" s="2">
        <v>1995</v>
      </c>
      <c r="H265" s="2" t="s">
        <v>13</v>
      </c>
      <c r="I265" s="3">
        <v>44321</v>
      </c>
    </row>
    <row r="266" spans="1:9" ht="15.75" customHeight="1" x14ac:dyDescent="0.25">
      <c r="A266" s="2" t="s">
        <v>551</v>
      </c>
      <c r="B266" s="2" t="s">
        <v>552</v>
      </c>
      <c r="C266" s="2" t="s">
        <v>46</v>
      </c>
      <c r="D266" s="2">
        <v>142</v>
      </c>
      <c r="E266" s="2">
        <v>1.4</v>
      </c>
      <c r="F266" s="2" t="s">
        <v>24</v>
      </c>
      <c r="G266" s="2">
        <v>1983</v>
      </c>
      <c r="H266" s="2" t="s">
        <v>18</v>
      </c>
      <c r="I266" s="3">
        <v>44844</v>
      </c>
    </row>
    <row r="267" spans="1:9" ht="15.75" customHeight="1" x14ac:dyDescent="0.25">
      <c r="A267" s="2" t="s">
        <v>553</v>
      </c>
      <c r="B267" s="2" t="s">
        <v>554</v>
      </c>
      <c r="C267" s="2" t="s">
        <v>54</v>
      </c>
      <c r="D267" s="2">
        <v>122</v>
      </c>
      <c r="E267" s="2">
        <v>8</v>
      </c>
      <c r="F267" s="2" t="s">
        <v>49</v>
      </c>
      <c r="G267" s="2">
        <v>2022</v>
      </c>
      <c r="H267" s="2" t="s">
        <v>18</v>
      </c>
      <c r="I267" s="3">
        <v>44621</v>
      </c>
    </row>
    <row r="268" spans="1:9" ht="15.75" customHeight="1" x14ac:dyDescent="0.25">
      <c r="A268" s="2" t="s">
        <v>555</v>
      </c>
      <c r="B268" s="2" t="s">
        <v>556</v>
      </c>
      <c r="C268" s="2" t="s">
        <v>31</v>
      </c>
      <c r="D268" s="2">
        <v>82</v>
      </c>
      <c r="E268" s="2">
        <v>8.8000000000000007</v>
      </c>
      <c r="F268" s="2" t="s">
        <v>49</v>
      </c>
      <c r="G268" s="2">
        <v>2013</v>
      </c>
      <c r="H268" s="2" t="s">
        <v>13</v>
      </c>
      <c r="I268" s="3">
        <v>44061</v>
      </c>
    </row>
    <row r="269" spans="1:9" ht="15.75" customHeight="1" x14ac:dyDescent="0.25">
      <c r="A269" s="2" t="s">
        <v>557</v>
      </c>
      <c r="B269" s="2" t="s">
        <v>558</v>
      </c>
      <c r="C269" s="2" t="s">
        <v>54</v>
      </c>
      <c r="D269" s="2">
        <v>131</v>
      </c>
      <c r="E269" s="2">
        <v>5.7</v>
      </c>
      <c r="F269" s="2" t="s">
        <v>12</v>
      </c>
      <c r="G269" s="2">
        <v>1994</v>
      </c>
      <c r="H269" s="2" t="s">
        <v>18</v>
      </c>
      <c r="I269" s="3">
        <v>44324</v>
      </c>
    </row>
    <row r="270" spans="1:9" ht="15.75" customHeight="1" x14ac:dyDescent="0.25">
      <c r="A270" s="2" t="s">
        <v>559</v>
      </c>
      <c r="B270" s="2" t="s">
        <v>560</v>
      </c>
      <c r="C270" s="2" t="s">
        <v>54</v>
      </c>
      <c r="D270" s="2">
        <v>175</v>
      </c>
      <c r="E270" s="2">
        <v>5.0999999999999996</v>
      </c>
      <c r="F270" s="2" t="s">
        <v>49</v>
      </c>
      <c r="G270" s="2">
        <v>2020</v>
      </c>
      <c r="H270" s="2" t="s">
        <v>18</v>
      </c>
      <c r="I270" s="3">
        <v>44854</v>
      </c>
    </row>
    <row r="271" spans="1:9" ht="15.75" customHeight="1" x14ac:dyDescent="0.25">
      <c r="A271" s="2" t="s">
        <v>561</v>
      </c>
      <c r="B271" s="2" t="s">
        <v>562</v>
      </c>
      <c r="C271" s="2" t="s">
        <v>31</v>
      </c>
      <c r="D271" s="2">
        <v>122</v>
      </c>
      <c r="E271" s="2">
        <v>9.6999999999999993</v>
      </c>
      <c r="F271" s="2" t="s">
        <v>49</v>
      </c>
      <c r="G271" s="2">
        <v>1994</v>
      </c>
      <c r="H271" s="2" t="s">
        <v>18</v>
      </c>
      <c r="I271" s="3">
        <v>45137</v>
      </c>
    </row>
    <row r="272" spans="1:9" ht="15.75" customHeight="1" x14ac:dyDescent="0.25">
      <c r="A272" s="2" t="s">
        <v>563</v>
      </c>
      <c r="B272" s="2" t="s">
        <v>564</v>
      </c>
      <c r="C272" s="2" t="s">
        <v>16</v>
      </c>
      <c r="D272" s="2">
        <v>178</v>
      </c>
      <c r="E272" s="2">
        <v>1.5</v>
      </c>
      <c r="F272" s="2" t="s">
        <v>24</v>
      </c>
      <c r="G272" s="2">
        <v>1983</v>
      </c>
      <c r="H272" s="2" t="s">
        <v>13</v>
      </c>
      <c r="I272" s="3">
        <v>45047</v>
      </c>
    </row>
    <row r="273" spans="1:9" ht="15.75" customHeight="1" x14ac:dyDescent="0.25">
      <c r="A273" s="2" t="s">
        <v>565</v>
      </c>
      <c r="B273" s="2" t="s">
        <v>566</v>
      </c>
      <c r="C273" s="2" t="s">
        <v>16</v>
      </c>
      <c r="D273" s="2">
        <v>157</v>
      </c>
      <c r="E273" s="2">
        <v>5.3</v>
      </c>
      <c r="F273" s="2" t="s">
        <v>21</v>
      </c>
      <c r="G273" s="2">
        <v>1986</v>
      </c>
      <c r="H273" s="2" t="s">
        <v>13</v>
      </c>
      <c r="I273" s="3">
        <v>43976</v>
      </c>
    </row>
    <row r="274" spans="1:9" ht="15.75" customHeight="1" x14ac:dyDescent="0.25">
      <c r="A274" s="2" t="s">
        <v>567</v>
      </c>
      <c r="B274" s="2" t="s">
        <v>568</v>
      </c>
      <c r="C274" s="2" t="s">
        <v>11</v>
      </c>
      <c r="D274" s="2">
        <v>146</v>
      </c>
      <c r="E274" s="2">
        <v>4.5999999999999996</v>
      </c>
      <c r="F274" s="2" t="s">
        <v>49</v>
      </c>
      <c r="G274" s="2">
        <v>2006</v>
      </c>
      <c r="H274" s="2" t="s">
        <v>13</v>
      </c>
      <c r="I274" s="3">
        <v>44912</v>
      </c>
    </row>
    <row r="275" spans="1:9" ht="15.75" customHeight="1" x14ac:dyDescent="0.25">
      <c r="A275" s="2" t="s">
        <v>569</v>
      </c>
      <c r="B275" s="2" t="s">
        <v>570</v>
      </c>
      <c r="C275" s="2" t="s">
        <v>54</v>
      </c>
      <c r="D275" s="2">
        <v>67</v>
      </c>
      <c r="E275" s="2">
        <v>7.2</v>
      </c>
      <c r="F275" s="2" t="s">
        <v>12</v>
      </c>
      <c r="G275" s="2">
        <v>2001</v>
      </c>
      <c r="H275" s="2" t="s">
        <v>18</v>
      </c>
      <c r="I275" s="3">
        <v>43855</v>
      </c>
    </row>
    <row r="276" spans="1:9" ht="15.75" customHeight="1" x14ac:dyDescent="0.25">
      <c r="A276" s="2" t="s">
        <v>571</v>
      </c>
      <c r="B276" s="2" t="s">
        <v>572</v>
      </c>
      <c r="C276" s="2" t="s">
        <v>27</v>
      </c>
      <c r="D276" s="2">
        <v>186</v>
      </c>
      <c r="E276" s="2">
        <v>5.4</v>
      </c>
      <c r="F276" s="2" t="s">
        <v>49</v>
      </c>
      <c r="G276" s="2">
        <v>2025</v>
      </c>
      <c r="H276" s="2" t="s">
        <v>13</v>
      </c>
      <c r="I276" s="3">
        <v>44570</v>
      </c>
    </row>
    <row r="277" spans="1:9" ht="15.75" customHeight="1" x14ac:dyDescent="0.25">
      <c r="A277" s="2" t="s">
        <v>573</v>
      </c>
      <c r="B277" s="2" t="s">
        <v>574</v>
      </c>
      <c r="C277" s="2" t="s">
        <v>54</v>
      </c>
      <c r="D277" s="2">
        <v>143</v>
      </c>
      <c r="E277" s="2">
        <v>9.1999999999999993</v>
      </c>
      <c r="F277" s="2" t="s">
        <v>24</v>
      </c>
      <c r="G277" s="2">
        <v>2010</v>
      </c>
      <c r="H277" s="2" t="s">
        <v>13</v>
      </c>
      <c r="I277" s="3">
        <v>44479</v>
      </c>
    </row>
    <row r="278" spans="1:9" ht="15.75" customHeight="1" x14ac:dyDescent="0.25">
      <c r="A278" s="2" t="s">
        <v>575</v>
      </c>
      <c r="B278" s="2" t="s">
        <v>576</v>
      </c>
      <c r="C278" s="2" t="s">
        <v>54</v>
      </c>
      <c r="D278" s="2">
        <v>106</v>
      </c>
      <c r="E278" s="2">
        <v>1.7</v>
      </c>
      <c r="F278" s="2" t="s">
        <v>17</v>
      </c>
      <c r="G278" s="2">
        <v>1986</v>
      </c>
      <c r="H278" s="2" t="s">
        <v>18</v>
      </c>
      <c r="I278" s="3">
        <v>44101</v>
      </c>
    </row>
    <row r="279" spans="1:9" ht="15.75" customHeight="1" x14ac:dyDescent="0.25">
      <c r="A279" s="2" t="s">
        <v>577</v>
      </c>
      <c r="B279" s="2" t="s">
        <v>578</v>
      </c>
      <c r="C279" s="2" t="s">
        <v>54</v>
      </c>
      <c r="D279" s="2">
        <v>184</v>
      </c>
      <c r="E279" s="2">
        <v>1.7</v>
      </c>
      <c r="F279" s="2" t="s">
        <v>24</v>
      </c>
      <c r="G279" s="2">
        <v>2023</v>
      </c>
      <c r="H279" s="2" t="s">
        <v>18</v>
      </c>
      <c r="I279" s="3">
        <v>44623</v>
      </c>
    </row>
    <row r="280" spans="1:9" ht="15.75" customHeight="1" x14ac:dyDescent="0.25">
      <c r="A280" s="2" t="s">
        <v>579</v>
      </c>
      <c r="B280" s="2" t="s">
        <v>580</v>
      </c>
      <c r="C280" s="2" t="s">
        <v>11</v>
      </c>
      <c r="D280" s="2">
        <v>114</v>
      </c>
      <c r="E280" s="2">
        <v>6.5</v>
      </c>
      <c r="F280" s="2" t="s">
        <v>28</v>
      </c>
      <c r="G280" s="2">
        <v>1988</v>
      </c>
      <c r="H280" s="2" t="s">
        <v>18</v>
      </c>
      <c r="I280" s="3">
        <v>44995</v>
      </c>
    </row>
    <row r="281" spans="1:9" ht="15.75" customHeight="1" x14ac:dyDescent="0.25">
      <c r="A281" s="2" t="s">
        <v>581</v>
      </c>
      <c r="B281" s="2" t="s">
        <v>582</v>
      </c>
      <c r="C281" s="2" t="s">
        <v>16</v>
      </c>
      <c r="D281" s="2">
        <v>150</v>
      </c>
      <c r="E281" s="2">
        <v>1.6</v>
      </c>
      <c r="F281" s="2" t="s">
        <v>12</v>
      </c>
      <c r="G281" s="2">
        <v>1980</v>
      </c>
      <c r="H281" s="2" t="s">
        <v>18</v>
      </c>
      <c r="I281" s="3">
        <v>44692</v>
      </c>
    </row>
    <row r="282" spans="1:9" ht="15.75" customHeight="1" x14ac:dyDescent="0.25">
      <c r="A282" s="2" t="s">
        <v>583</v>
      </c>
      <c r="B282" s="2" t="s">
        <v>584</v>
      </c>
      <c r="C282" s="2" t="s">
        <v>11</v>
      </c>
      <c r="D282" s="2">
        <v>126</v>
      </c>
      <c r="E282" s="2">
        <v>3.5</v>
      </c>
      <c r="F282" s="2" t="s">
        <v>49</v>
      </c>
      <c r="G282" s="2">
        <v>2015</v>
      </c>
      <c r="H282" s="2" t="s">
        <v>13</v>
      </c>
      <c r="I282" s="3">
        <v>44579</v>
      </c>
    </row>
    <row r="283" spans="1:9" ht="15.75" customHeight="1" x14ac:dyDescent="0.25">
      <c r="A283" s="2" t="s">
        <v>585</v>
      </c>
      <c r="B283" s="2" t="s">
        <v>586</v>
      </c>
      <c r="C283" s="2" t="s">
        <v>11</v>
      </c>
      <c r="D283" s="2">
        <v>147</v>
      </c>
      <c r="E283" s="2">
        <v>6.7</v>
      </c>
      <c r="F283" s="2" t="s">
        <v>28</v>
      </c>
      <c r="G283" s="2">
        <v>1990</v>
      </c>
      <c r="H283" s="2" t="s">
        <v>13</v>
      </c>
      <c r="I283" s="3">
        <v>44949</v>
      </c>
    </row>
    <row r="284" spans="1:9" ht="15.75" customHeight="1" x14ac:dyDescent="0.25">
      <c r="A284" s="2" t="s">
        <v>587</v>
      </c>
      <c r="B284" s="2" t="s">
        <v>588</v>
      </c>
      <c r="C284" s="2" t="s">
        <v>11</v>
      </c>
      <c r="D284" s="2">
        <v>131</v>
      </c>
      <c r="E284" s="2">
        <v>5.9</v>
      </c>
      <c r="F284" s="2" t="s">
        <v>49</v>
      </c>
      <c r="G284" s="2">
        <v>2006</v>
      </c>
      <c r="H284" s="2" t="s">
        <v>13</v>
      </c>
      <c r="I284" s="3">
        <v>45229</v>
      </c>
    </row>
    <row r="285" spans="1:9" ht="15.75" customHeight="1" x14ac:dyDescent="0.25">
      <c r="A285" s="2" t="s">
        <v>589</v>
      </c>
      <c r="B285" s="2" t="s">
        <v>590</v>
      </c>
      <c r="C285" s="2" t="s">
        <v>16</v>
      </c>
      <c r="D285" s="2">
        <v>130</v>
      </c>
      <c r="E285" s="2">
        <v>3.9</v>
      </c>
      <c r="F285" s="2" t="s">
        <v>17</v>
      </c>
      <c r="G285" s="2">
        <v>2021</v>
      </c>
      <c r="H285" s="2" t="s">
        <v>18</v>
      </c>
      <c r="I285" s="3">
        <v>44184</v>
      </c>
    </row>
    <row r="286" spans="1:9" ht="15.75" customHeight="1" x14ac:dyDescent="0.25">
      <c r="A286" s="2" t="s">
        <v>591</v>
      </c>
      <c r="B286" s="2" t="s">
        <v>592</v>
      </c>
      <c r="C286" s="2" t="s">
        <v>16</v>
      </c>
      <c r="D286" s="2">
        <v>62</v>
      </c>
      <c r="E286" s="2">
        <v>10</v>
      </c>
      <c r="F286" s="2" t="s">
        <v>21</v>
      </c>
      <c r="G286" s="2">
        <v>2010</v>
      </c>
      <c r="H286" s="2" t="s">
        <v>18</v>
      </c>
      <c r="I286" s="3">
        <v>45393</v>
      </c>
    </row>
    <row r="287" spans="1:9" ht="15.75" customHeight="1" x14ac:dyDescent="0.25">
      <c r="A287" s="2" t="s">
        <v>593</v>
      </c>
      <c r="B287" s="2" t="s">
        <v>594</v>
      </c>
      <c r="C287" s="2" t="s">
        <v>54</v>
      </c>
      <c r="D287" s="2">
        <v>192</v>
      </c>
      <c r="E287" s="2">
        <v>5.8</v>
      </c>
      <c r="F287" s="2" t="s">
        <v>17</v>
      </c>
      <c r="G287" s="2">
        <v>2010</v>
      </c>
      <c r="H287" s="2" t="s">
        <v>18</v>
      </c>
      <c r="I287" s="3">
        <v>44795</v>
      </c>
    </row>
    <row r="288" spans="1:9" ht="15.75" customHeight="1" x14ac:dyDescent="0.25">
      <c r="A288" s="2" t="s">
        <v>595</v>
      </c>
      <c r="B288" s="2" t="s">
        <v>596</v>
      </c>
      <c r="C288" s="2" t="s">
        <v>11</v>
      </c>
      <c r="D288" s="2">
        <v>108</v>
      </c>
      <c r="E288" s="2">
        <v>5.0999999999999996</v>
      </c>
      <c r="F288" s="2" t="s">
        <v>24</v>
      </c>
      <c r="G288" s="2">
        <v>2021</v>
      </c>
      <c r="H288" s="2" t="s">
        <v>18</v>
      </c>
      <c r="I288" s="3">
        <v>45408</v>
      </c>
    </row>
    <row r="289" spans="1:9" ht="15.75" customHeight="1" x14ac:dyDescent="0.25">
      <c r="A289" s="2" t="s">
        <v>597</v>
      </c>
      <c r="B289" s="2" t="s">
        <v>598</v>
      </c>
      <c r="C289" s="2" t="s">
        <v>27</v>
      </c>
      <c r="D289" s="2">
        <v>81</v>
      </c>
      <c r="E289" s="2">
        <v>6.4</v>
      </c>
      <c r="F289" s="2" t="s">
        <v>24</v>
      </c>
      <c r="G289" s="2">
        <v>1992</v>
      </c>
      <c r="H289" s="2" t="s">
        <v>18</v>
      </c>
      <c r="I289" s="3">
        <v>43980</v>
      </c>
    </row>
    <row r="290" spans="1:9" ht="15.75" customHeight="1" x14ac:dyDescent="0.25">
      <c r="A290" s="2" t="s">
        <v>599</v>
      </c>
      <c r="B290" s="2" t="s">
        <v>600</v>
      </c>
      <c r="C290" s="2" t="s">
        <v>16</v>
      </c>
      <c r="D290" s="2">
        <v>121</v>
      </c>
      <c r="E290" s="2">
        <v>1.9</v>
      </c>
      <c r="F290" s="2" t="s">
        <v>28</v>
      </c>
      <c r="G290" s="2">
        <v>1998</v>
      </c>
      <c r="H290" s="2" t="s">
        <v>13</v>
      </c>
      <c r="I290" s="3">
        <v>43865</v>
      </c>
    </row>
    <row r="291" spans="1:9" ht="15.75" customHeight="1" x14ac:dyDescent="0.25">
      <c r="A291" s="2" t="s">
        <v>601</v>
      </c>
      <c r="B291" s="2" t="s">
        <v>602</v>
      </c>
      <c r="C291" s="2" t="s">
        <v>31</v>
      </c>
      <c r="D291" s="2">
        <v>164</v>
      </c>
      <c r="E291" s="2">
        <v>7.3</v>
      </c>
      <c r="F291" s="2" t="s">
        <v>28</v>
      </c>
      <c r="G291" s="2">
        <v>2000</v>
      </c>
      <c r="H291" s="2" t="s">
        <v>18</v>
      </c>
      <c r="I291" s="3">
        <v>45033</v>
      </c>
    </row>
    <row r="292" spans="1:9" ht="15.75" customHeight="1" x14ac:dyDescent="0.25">
      <c r="A292" s="2" t="s">
        <v>603</v>
      </c>
      <c r="B292" s="2" t="s">
        <v>604</v>
      </c>
      <c r="C292" s="2" t="s">
        <v>31</v>
      </c>
      <c r="D292" s="2">
        <v>185</v>
      </c>
      <c r="E292" s="2">
        <v>8.6999999999999993</v>
      </c>
      <c r="F292" s="2" t="s">
        <v>24</v>
      </c>
      <c r="G292" s="2">
        <v>1998</v>
      </c>
      <c r="H292" s="2" t="s">
        <v>18</v>
      </c>
      <c r="I292" s="3">
        <v>43969</v>
      </c>
    </row>
    <row r="293" spans="1:9" ht="15.75" customHeight="1" x14ac:dyDescent="0.25">
      <c r="A293" s="2" t="s">
        <v>605</v>
      </c>
      <c r="B293" s="2" t="s">
        <v>606</v>
      </c>
      <c r="C293" s="2" t="s">
        <v>31</v>
      </c>
      <c r="D293" s="2">
        <v>121</v>
      </c>
      <c r="E293" s="2">
        <v>6.9</v>
      </c>
      <c r="F293" s="2" t="s">
        <v>12</v>
      </c>
      <c r="G293" s="2">
        <v>2021</v>
      </c>
      <c r="H293" s="2" t="s">
        <v>13</v>
      </c>
      <c r="I293" s="3">
        <v>43859</v>
      </c>
    </row>
    <row r="294" spans="1:9" ht="15.75" customHeight="1" x14ac:dyDescent="0.25">
      <c r="A294" s="2" t="s">
        <v>607</v>
      </c>
      <c r="B294" s="2" t="s">
        <v>608</v>
      </c>
      <c r="C294" s="2" t="s">
        <v>46</v>
      </c>
      <c r="D294" s="2">
        <v>181</v>
      </c>
      <c r="E294" s="2">
        <v>7.9</v>
      </c>
      <c r="F294" s="2" t="s">
        <v>24</v>
      </c>
      <c r="G294" s="2">
        <v>1983</v>
      </c>
      <c r="H294" s="2" t="s">
        <v>18</v>
      </c>
      <c r="I294" s="3">
        <v>44367</v>
      </c>
    </row>
    <row r="295" spans="1:9" ht="15.75" customHeight="1" x14ac:dyDescent="0.25">
      <c r="A295" s="2" t="s">
        <v>609</v>
      </c>
      <c r="B295" s="2" t="s">
        <v>610</v>
      </c>
      <c r="C295" s="2" t="s">
        <v>54</v>
      </c>
      <c r="D295" s="2">
        <v>185</v>
      </c>
      <c r="E295" s="2">
        <v>7.5</v>
      </c>
      <c r="F295" s="2" t="s">
        <v>24</v>
      </c>
      <c r="G295" s="2">
        <v>1985</v>
      </c>
      <c r="H295" s="2" t="s">
        <v>13</v>
      </c>
      <c r="I295" s="3">
        <v>44272</v>
      </c>
    </row>
    <row r="296" spans="1:9" ht="15.75" customHeight="1" x14ac:dyDescent="0.25">
      <c r="A296" s="2" t="s">
        <v>611</v>
      </c>
      <c r="B296" s="2" t="s">
        <v>612</v>
      </c>
      <c r="C296" s="2" t="s">
        <v>31</v>
      </c>
      <c r="D296" s="2">
        <v>174</v>
      </c>
      <c r="E296" s="2">
        <v>2.9</v>
      </c>
      <c r="F296" s="2" t="s">
        <v>49</v>
      </c>
      <c r="G296" s="2">
        <v>2021</v>
      </c>
      <c r="H296" s="2" t="s">
        <v>18</v>
      </c>
      <c r="I296" s="3">
        <v>43912</v>
      </c>
    </row>
    <row r="297" spans="1:9" ht="15.75" customHeight="1" x14ac:dyDescent="0.25">
      <c r="A297" s="2" t="s">
        <v>613</v>
      </c>
      <c r="B297" s="2" t="s">
        <v>614</v>
      </c>
      <c r="C297" s="2" t="s">
        <v>54</v>
      </c>
      <c r="D297" s="2">
        <v>64</v>
      </c>
      <c r="E297" s="2">
        <v>5.0999999999999996</v>
      </c>
      <c r="F297" s="2" t="s">
        <v>17</v>
      </c>
      <c r="G297" s="2">
        <v>2016</v>
      </c>
      <c r="H297" s="2" t="s">
        <v>13</v>
      </c>
      <c r="I297" s="3">
        <v>43954</v>
      </c>
    </row>
    <row r="298" spans="1:9" ht="15.75" customHeight="1" x14ac:dyDescent="0.25">
      <c r="A298" s="2" t="s">
        <v>615</v>
      </c>
      <c r="B298" s="2" t="s">
        <v>616</v>
      </c>
      <c r="C298" s="2" t="s">
        <v>31</v>
      </c>
      <c r="D298" s="2">
        <v>83</v>
      </c>
      <c r="E298" s="2">
        <v>3.1</v>
      </c>
      <c r="F298" s="2" t="s">
        <v>12</v>
      </c>
      <c r="G298" s="2">
        <v>1994</v>
      </c>
      <c r="H298" s="2" t="s">
        <v>13</v>
      </c>
      <c r="I298" s="3">
        <v>45447</v>
      </c>
    </row>
    <row r="299" spans="1:9" ht="15.75" customHeight="1" x14ac:dyDescent="0.25">
      <c r="A299" s="2" t="s">
        <v>617</v>
      </c>
      <c r="B299" s="2" t="s">
        <v>618</v>
      </c>
      <c r="C299" s="2" t="s">
        <v>27</v>
      </c>
      <c r="D299" s="2">
        <v>135</v>
      </c>
      <c r="E299" s="2">
        <v>4.0999999999999996</v>
      </c>
      <c r="F299" s="2" t="s">
        <v>49</v>
      </c>
      <c r="G299" s="2">
        <v>2014</v>
      </c>
      <c r="H299" s="2" t="s">
        <v>18</v>
      </c>
      <c r="I299" s="3">
        <v>44646</v>
      </c>
    </row>
    <row r="300" spans="1:9" ht="15.75" customHeight="1" x14ac:dyDescent="0.25">
      <c r="A300" s="2" t="s">
        <v>619</v>
      </c>
      <c r="B300" s="2" t="s">
        <v>620</v>
      </c>
      <c r="C300" s="2" t="s">
        <v>54</v>
      </c>
      <c r="D300" s="2">
        <v>116</v>
      </c>
      <c r="E300" s="2">
        <v>5.0999999999999996</v>
      </c>
      <c r="F300" s="2" t="s">
        <v>21</v>
      </c>
      <c r="G300" s="2">
        <v>1982</v>
      </c>
      <c r="H300" s="2" t="s">
        <v>13</v>
      </c>
      <c r="I300" s="3">
        <v>44868</v>
      </c>
    </row>
    <row r="301" spans="1:9" ht="15.75" customHeight="1" x14ac:dyDescent="0.25">
      <c r="A301" s="2" t="s">
        <v>621</v>
      </c>
      <c r="B301" s="2" t="s">
        <v>622</v>
      </c>
      <c r="C301" s="2" t="s">
        <v>31</v>
      </c>
      <c r="D301" s="2">
        <v>163</v>
      </c>
      <c r="E301" s="2">
        <v>4.7</v>
      </c>
      <c r="F301" s="2" t="s">
        <v>12</v>
      </c>
      <c r="G301" s="2">
        <v>1991</v>
      </c>
      <c r="H301" s="2" t="s">
        <v>18</v>
      </c>
      <c r="I301" s="3">
        <v>44417</v>
      </c>
    </row>
    <row r="302" spans="1:9" ht="15.75" customHeight="1" x14ac:dyDescent="0.25">
      <c r="A302" s="2" t="s">
        <v>623</v>
      </c>
      <c r="B302" s="2" t="s">
        <v>624</v>
      </c>
      <c r="C302" s="2" t="s">
        <v>16</v>
      </c>
      <c r="D302" s="2">
        <v>122</v>
      </c>
      <c r="E302" s="2">
        <v>1.9</v>
      </c>
      <c r="F302" s="2" t="s">
        <v>49</v>
      </c>
      <c r="G302" s="2">
        <v>2006</v>
      </c>
      <c r="H302" s="2" t="s">
        <v>18</v>
      </c>
      <c r="I302" s="3">
        <v>45118</v>
      </c>
    </row>
    <row r="303" spans="1:9" ht="15.75" customHeight="1" x14ac:dyDescent="0.25">
      <c r="A303" s="2" t="s">
        <v>625</v>
      </c>
      <c r="B303" s="2" t="s">
        <v>626</v>
      </c>
      <c r="C303" s="2" t="s">
        <v>54</v>
      </c>
      <c r="D303" s="2">
        <v>138</v>
      </c>
      <c r="E303" s="2">
        <v>4.8</v>
      </c>
      <c r="F303" s="2" t="s">
        <v>24</v>
      </c>
      <c r="G303" s="2">
        <v>1991</v>
      </c>
      <c r="H303" s="2" t="s">
        <v>18</v>
      </c>
      <c r="I303" s="3">
        <v>45290</v>
      </c>
    </row>
    <row r="304" spans="1:9" ht="15.75" customHeight="1" x14ac:dyDescent="0.25">
      <c r="A304" s="2" t="s">
        <v>627</v>
      </c>
      <c r="B304" s="2" t="s">
        <v>628</v>
      </c>
      <c r="C304" s="2" t="s">
        <v>46</v>
      </c>
      <c r="D304" s="2">
        <v>154</v>
      </c>
      <c r="E304" s="2">
        <v>7</v>
      </c>
      <c r="F304" s="2" t="s">
        <v>49</v>
      </c>
      <c r="G304" s="2">
        <v>1982</v>
      </c>
      <c r="H304" s="2" t="s">
        <v>18</v>
      </c>
      <c r="I304" s="3">
        <v>44857</v>
      </c>
    </row>
    <row r="305" spans="1:9" ht="15.75" customHeight="1" x14ac:dyDescent="0.25">
      <c r="A305" s="2" t="s">
        <v>629</v>
      </c>
      <c r="B305" s="2" t="s">
        <v>630</v>
      </c>
      <c r="C305" s="2" t="s">
        <v>16</v>
      </c>
      <c r="D305" s="2">
        <v>181</v>
      </c>
      <c r="E305" s="2">
        <v>4.4000000000000004</v>
      </c>
      <c r="F305" s="2" t="s">
        <v>28</v>
      </c>
      <c r="G305" s="2">
        <v>2005</v>
      </c>
      <c r="H305" s="2" t="s">
        <v>18</v>
      </c>
      <c r="I305" s="3">
        <v>45402</v>
      </c>
    </row>
    <row r="306" spans="1:9" ht="15.75" customHeight="1" x14ac:dyDescent="0.25">
      <c r="A306" s="2" t="s">
        <v>631</v>
      </c>
      <c r="B306" s="2" t="s">
        <v>632</v>
      </c>
      <c r="C306" s="2" t="s">
        <v>16</v>
      </c>
      <c r="D306" s="2">
        <v>195</v>
      </c>
      <c r="E306" s="2">
        <v>2.4</v>
      </c>
      <c r="F306" s="2" t="s">
        <v>12</v>
      </c>
      <c r="G306" s="2">
        <v>2011</v>
      </c>
      <c r="H306" s="2" t="s">
        <v>18</v>
      </c>
      <c r="I306" s="3">
        <v>44681</v>
      </c>
    </row>
    <row r="307" spans="1:9" ht="15.75" customHeight="1" x14ac:dyDescent="0.25">
      <c r="A307" s="2" t="s">
        <v>633</v>
      </c>
      <c r="B307" s="2" t="s">
        <v>634</v>
      </c>
      <c r="C307" s="2" t="s">
        <v>11</v>
      </c>
      <c r="D307" s="2">
        <v>148</v>
      </c>
      <c r="E307" s="2">
        <v>9.3000000000000007</v>
      </c>
      <c r="F307" s="2" t="s">
        <v>24</v>
      </c>
      <c r="G307" s="2">
        <v>1991</v>
      </c>
      <c r="H307" s="2" t="s">
        <v>18</v>
      </c>
      <c r="I307" s="3">
        <v>44698</v>
      </c>
    </row>
    <row r="308" spans="1:9" ht="15.75" customHeight="1" x14ac:dyDescent="0.25">
      <c r="A308" s="2" t="s">
        <v>635</v>
      </c>
      <c r="B308" s="2" t="s">
        <v>636</v>
      </c>
      <c r="C308" s="2" t="s">
        <v>46</v>
      </c>
      <c r="D308" s="2">
        <v>168</v>
      </c>
      <c r="E308" s="2">
        <v>1.6</v>
      </c>
      <c r="F308" s="2" t="s">
        <v>17</v>
      </c>
      <c r="G308" s="2">
        <v>1998</v>
      </c>
      <c r="H308" s="2" t="s">
        <v>13</v>
      </c>
      <c r="I308" s="3">
        <v>45268</v>
      </c>
    </row>
    <row r="309" spans="1:9" ht="15.75" customHeight="1" x14ac:dyDescent="0.25">
      <c r="A309" s="2" t="s">
        <v>637</v>
      </c>
      <c r="B309" s="2" t="s">
        <v>638</v>
      </c>
      <c r="C309" s="2" t="s">
        <v>16</v>
      </c>
      <c r="D309" s="2">
        <v>200</v>
      </c>
      <c r="E309" s="2">
        <v>8.5</v>
      </c>
      <c r="F309" s="2" t="s">
        <v>49</v>
      </c>
      <c r="G309" s="2">
        <v>1982</v>
      </c>
      <c r="H309" s="2" t="s">
        <v>18</v>
      </c>
      <c r="I309" s="3">
        <v>44654</v>
      </c>
    </row>
    <row r="310" spans="1:9" ht="15.75" customHeight="1" x14ac:dyDescent="0.25">
      <c r="A310" s="2" t="s">
        <v>639</v>
      </c>
      <c r="B310" s="2" t="s">
        <v>640</v>
      </c>
      <c r="C310" s="2" t="s">
        <v>16</v>
      </c>
      <c r="D310" s="2">
        <v>144</v>
      </c>
      <c r="E310" s="2">
        <v>1.8</v>
      </c>
      <c r="F310" s="2" t="s">
        <v>24</v>
      </c>
      <c r="G310" s="2">
        <v>1980</v>
      </c>
      <c r="H310" s="2" t="s">
        <v>18</v>
      </c>
      <c r="I310" s="3">
        <v>43999</v>
      </c>
    </row>
    <row r="311" spans="1:9" ht="15.75" customHeight="1" x14ac:dyDescent="0.25">
      <c r="A311" s="2" t="s">
        <v>641</v>
      </c>
      <c r="B311" s="2" t="s">
        <v>642</v>
      </c>
      <c r="C311" s="2" t="s">
        <v>31</v>
      </c>
      <c r="D311" s="2">
        <v>150</v>
      </c>
      <c r="E311" s="2">
        <v>1.9</v>
      </c>
      <c r="F311" s="2" t="s">
        <v>12</v>
      </c>
      <c r="G311" s="2">
        <v>1999</v>
      </c>
      <c r="H311" s="2" t="s">
        <v>13</v>
      </c>
      <c r="I311" s="3">
        <v>45142</v>
      </c>
    </row>
    <row r="312" spans="1:9" ht="15.75" customHeight="1" x14ac:dyDescent="0.25">
      <c r="A312" s="2" t="s">
        <v>643</v>
      </c>
      <c r="B312" s="2" t="s">
        <v>644</v>
      </c>
      <c r="C312" s="2" t="s">
        <v>31</v>
      </c>
      <c r="D312" s="2">
        <v>176</v>
      </c>
      <c r="E312" s="2">
        <v>7.6</v>
      </c>
      <c r="F312" s="2" t="s">
        <v>28</v>
      </c>
      <c r="G312" s="2">
        <v>2016</v>
      </c>
      <c r="H312" s="2" t="s">
        <v>18</v>
      </c>
      <c r="I312" s="3">
        <v>44929</v>
      </c>
    </row>
    <row r="313" spans="1:9" ht="15.75" customHeight="1" x14ac:dyDescent="0.25">
      <c r="A313" s="2" t="s">
        <v>645</v>
      </c>
      <c r="B313" s="2" t="s">
        <v>646</v>
      </c>
      <c r="C313" s="2" t="s">
        <v>54</v>
      </c>
      <c r="D313" s="2">
        <v>129</v>
      </c>
      <c r="E313" s="2">
        <v>8.3000000000000007</v>
      </c>
      <c r="F313" s="2" t="s">
        <v>28</v>
      </c>
      <c r="G313" s="2">
        <v>2018</v>
      </c>
      <c r="H313" s="2" t="s">
        <v>18</v>
      </c>
      <c r="I313" s="3">
        <v>44932</v>
      </c>
    </row>
    <row r="314" spans="1:9" ht="15.75" customHeight="1" x14ac:dyDescent="0.25">
      <c r="A314" s="2" t="s">
        <v>647</v>
      </c>
      <c r="B314" s="2" t="s">
        <v>648</v>
      </c>
      <c r="C314" s="2" t="s">
        <v>54</v>
      </c>
      <c r="D314" s="2">
        <v>138</v>
      </c>
      <c r="E314" s="2">
        <v>6</v>
      </c>
      <c r="F314" s="2" t="s">
        <v>12</v>
      </c>
      <c r="G314" s="2">
        <v>1986</v>
      </c>
      <c r="H314" s="2" t="s">
        <v>13</v>
      </c>
      <c r="I314" s="3">
        <v>45092</v>
      </c>
    </row>
    <row r="315" spans="1:9" ht="15.75" customHeight="1" x14ac:dyDescent="0.25">
      <c r="A315" s="2" t="s">
        <v>649</v>
      </c>
      <c r="B315" s="2" t="s">
        <v>650</v>
      </c>
      <c r="C315" s="2" t="s">
        <v>54</v>
      </c>
      <c r="D315" s="2">
        <v>124</v>
      </c>
      <c r="E315" s="2">
        <v>6.3</v>
      </c>
      <c r="F315" s="2" t="s">
        <v>12</v>
      </c>
      <c r="G315" s="2">
        <v>2001</v>
      </c>
      <c r="H315" s="2" t="s">
        <v>18</v>
      </c>
      <c r="I315" s="3">
        <v>44143</v>
      </c>
    </row>
    <row r="316" spans="1:9" ht="15.75" customHeight="1" x14ac:dyDescent="0.25">
      <c r="A316" s="2" t="s">
        <v>651</v>
      </c>
      <c r="B316" s="2" t="s">
        <v>652</v>
      </c>
      <c r="C316" s="2" t="s">
        <v>31</v>
      </c>
      <c r="D316" s="2">
        <v>119</v>
      </c>
      <c r="E316" s="2">
        <v>6.1</v>
      </c>
      <c r="F316" s="2" t="s">
        <v>49</v>
      </c>
      <c r="G316" s="2">
        <v>1998</v>
      </c>
      <c r="H316" s="2" t="s">
        <v>18</v>
      </c>
      <c r="I316" s="3">
        <v>44399</v>
      </c>
    </row>
    <row r="317" spans="1:9" ht="15.75" customHeight="1" x14ac:dyDescent="0.25">
      <c r="A317" s="2" t="s">
        <v>653</v>
      </c>
      <c r="B317" s="2" t="s">
        <v>654</v>
      </c>
      <c r="C317" s="2" t="s">
        <v>54</v>
      </c>
      <c r="D317" s="2">
        <v>90</v>
      </c>
      <c r="E317" s="2">
        <v>4</v>
      </c>
      <c r="F317" s="2" t="s">
        <v>24</v>
      </c>
      <c r="G317" s="2">
        <v>2009</v>
      </c>
      <c r="H317" s="2" t="s">
        <v>18</v>
      </c>
      <c r="I317" s="3">
        <v>44002</v>
      </c>
    </row>
    <row r="318" spans="1:9" ht="15.75" customHeight="1" x14ac:dyDescent="0.25">
      <c r="A318" s="2" t="s">
        <v>655</v>
      </c>
      <c r="B318" s="2" t="s">
        <v>656</v>
      </c>
      <c r="C318" s="2" t="s">
        <v>16</v>
      </c>
      <c r="D318" s="2">
        <v>109</v>
      </c>
      <c r="E318" s="2">
        <v>2.1</v>
      </c>
      <c r="F318" s="2" t="s">
        <v>17</v>
      </c>
      <c r="G318" s="2">
        <v>2021</v>
      </c>
      <c r="H318" s="2" t="s">
        <v>18</v>
      </c>
      <c r="I318" s="3">
        <v>44465</v>
      </c>
    </row>
    <row r="319" spans="1:9" ht="15.75" customHeight="1" x14ac:dyDescent="0.25">
      <c r="A319" s="2" t="s">
        <v>657</v>
      </c>
      <c r="B319" s="2" t="s">
        <v>658</v>
      </c>
      <c r="C319" s="2" t="s">
        <v>31</v>
      </c>
      <c r="D319" s="2">
        <v>140</v>
      </c>
      <c r="E319" s="2">
        <v>4.2</v>
      </c>
      <c r="F319" s="2" t="s">
        <v>12</v>
      </c>
      <c r="G319" s="2">
        <v>2014</v>
      </c>
      <c r="H319" s="2" t="s">
        <v>13</v>
      </c>
      <c r="I319" s="3">
        <v>43992</v>
      </c>
    </row>
    <row r="320" spans="1:9" ht="15.75" customHeight="1" x14ac:dyDescent="0.25">
      <c r="A320" s="2" t="s">
        <v>659</v>
      </c>
      <c r="B320" s="2" t="s">
        <v>660</v>
      </c>
      <c r="C320" s="2" t="s">
        <v>54</v>
      </c>
      <c r="D320" s="2">
        <v>90</v>
      </c>
      <c r="E320" s="2">
        <v>7</v>
      </c>
      <c r="F320" s="2" t="s">
        <v>12</v>
      </c>
      <c r="G320" s="2">
        <v>2013</v>
      </c>
      <c r="H320" s="2" t="s">
        <v>18</v>
      </c>
      <c r="I320" s="3">
        <v>44878</v>
      </c>
    </row>
    <row r="321" spans="1:9" ht="15.75" customHeight="1" x14ac:dyDescent="0.25">
      <c r="A321" s="2" t="s">
        <v>661</v>
      </c>
      <c r="B321" s="2" t="s">
        <v>662</v>
      </c>
      <c r="C321" s="2" t="s">
        <v>16</v>
      </c>
      <c r="D321" s="2">
        <v>197</v>
      </c>
      <c r="E321" s="2">
        <v>7.8</v>
      </c>
      <c r="F321" s="2" t="s">
        <v>21</v>
      </c>
      <c r="G321" s="2">
        <v>2011</v>
      </c>
      <c r="H321" s="2" t="s">
        <v>18</v>
      </c>
      <c r="I321" s="3">
        <v>44247</v>
      </c>
    </row>
    <row r="322" spans="1:9" ht="15.75" customHeight="1" x14ac:dyDescent="0.25">
      <c r="A322" s="2" t="s">
        <v>663</v>
      </c>
      <c r="B322" s="2" t="s">
        <v>664</v>
      </c>
      <c r="C322" s="2" t="s">
        <v>54</v>
      </c>
      <c r="D322" s="2">
        <v>107</v>
      </c>
      <c r="E322" s="2">
        <v>8.8000000000000007</v>
      </c>
      <c r="F322" s="2" t="s">
        <v>28</v>
      </c>
      <c r="G322" s="2">
        <v>1988</v>
      </c>
      <c r="H322" s="2" t="s">
        <v>18</v>
      </c>
      <c r="I322" s="3">
        <v>45485</v>
      </c>
    </row>
    <row r="323" spans="1:9" ht="15.75" customHeight="1" x14ac:dyDescent="0.25">
      <c r="A323" s="2" t="s">
        <v>665</v>
      </c>
      <c r="B323" s="2" t="s">
        <v>666</v>
      </c>
      <c r="C323" s="2" t="s">
        <v>27</v>
      </c>
      <c r="D323" s="2">
        <v>109</v>
      </c>
      <c r="E323" s="2">
        <v>7.5</v>
      </c>
      <c r="F323" s="2" t="s">
        <v>21</v>
      </c>
      <c r="G323" s="2">
        <v>2012</v>
      </c>
      <c r="H323" s="2" t="s">
        <v>18</v>
      </c>
      <c r="I323" s="3">
        <v>44149</v>
      </c>
    </row>
    <row r="324" spans="1:9" ht="15.75" customHeight="1" x14ac:dyDescent="0.25">
      <c r="A324" s="2" t="s">
        <v>667</v>
      </c>
      <c r="B324" s="2" t="s">
        <v>668</v>
      </c>
      <c r="C324" s="2" t="s">
        <v>54</v>
      </c>
      <c r="D324" s="2">
        <v>115</v>
      </c>
      <c r="E324" s="2">
        <v>9.6999999999999993</v>
      </c>
      <c r="F324" s="2" t="s">
        <v>17</v>
      </c>
      <c r="G324" s="2">
        <v>2009</v>
      </c>
      <c r="H324" s="2" t="s">
        <v>18</v>
      </c>
      <c r="I324" s="3">
        <v>44929</v>
      </c>
    </row>
    <row r="325" spans="1:9" ht="15.75" customHeight="1" x14ac:dyDescent="0.25">
      <c r="A325" s="2" t="s">
        <v>669</v>
      </c>
      <c r="B325" s="2" t="s">
        <v>670</v>
      </c>
      <c r="C325" s="2" t="s">
        <v>27</v>
      </c>
      <c r="D325" s="2">
        <v>183</v>
      </c>
      <c r="E325" s="2">
        <v>6.4</v>
      </c>
      <c r="F325" s="2" t="s">
        <v>12</v>
      </c>
      <c r="G325" s="2">
        <v>1997</v>
      </c>
      <c r="H325" s="2" t="s">
        <v>13</v>
      </c>
      <c r="I325" s="3">
        <v>44500</v>
      </c>
    </row>
    <row r="326" spans="1:9" ht="15.75" customHeight="1" x14ac:dyDescent="0.25">
      <c r="A326" s="2" t="s">
        <v>671</v>
      </c>
      <c r="B326" s="2" t="s">
        <v>672</v>
      </c>
      <c r="C326" s="2" t="s">
        <v>54</v>
      </c>
      <c r="D326" s="2">
        <v>130</v>
      </c>
      <c r="E326" s="2">
        <v>4.2</v>
      </c>
      <c r="F326" s="2" t="s">
        <v>49</v>
      </c>
      <c r="G326" s="2">
        <v>1992</v>
      </c>
      <c r="H326" s="2" t="s">
        <v>13</v>
      </c>
      <c r="I326" s="3">
        <v>44631</v>
      </c>
    </row>
    <row r="327" spans="1:9" ht="15.75" customHeight="1" x14ac:dyDescent="0.25">
      <c r="A327" s="2" t="s">
        <v>673</v>
      </c>
      <c r="B327" s="2" t="s">
        <v>674</v>
      </c>
      <c r="C327" s="2" t="s">
        <v>11</v>
      </c>
      <c r="D327" s="2">
        <v>194</v>
      </c>
      <c r="E327" s="2">
        <v>6.2</v>
      </c>
      <c r="F327" s="2" t="s">
        <v>28</v>
      </c>
      <c r="G327" s="2">
        <v>1987</v>
      </c>
      <c r="H327" s="2" t="s">
        <v>13</v>
      </c>
      <c r="I327" s="3">
        <v>45032</v>
      </c>
    </row>
    <row r="328" spans="1:9" ht="15.75" customHeight="1" x14ac:dyDescent="0.25">
      <c r="A328" s="2" t="s">
        <v>675</v>
      </c>
      <c r="B328" s="2" t="s">
        <v>676</v>
      </c>
      <c r="C328" s="2" t="s">
        <v>11</v>
      </c>
      <c r="D328" s="2">
        <v>132</v>
      </c>
      <c r="E328" s="2">
        <v>2.9</v>
      </c>
      <c r="F328" s="2" t="s">
        <v>21</v>
      </c>
      <c r="G328" s="2">
        <v>2001</v>
      </c>
      <c r="H328" s="2" t="s">
        <v>13</v>
      </c>
      <c r="I328" s="3">
        <v>45130</v>
      </c>
    </row>
    <row r="329" spans="1:9" ht="15.75" customHeight="1" x14ac:dyDescent="0.25">
      <c r="A329" s="2" t="s">
        <v>677</v>
      </c>
      <c r="B329" s="2" t="s">
        <v>678</v>
      </c>
      <c r="C329" s="2" t="s">
        <v>46</v>
      </c>
      <c r="D329" s="2">
        <v>85</v>
      </c>
      <c r="E329" s="2">
        <v>6.9</v>
      </c>
      <c r="F329" s="2" t="s">
        <v>28</v>
      </c>
      <c r="G329" s="2">
        <v>1990</v>
      </c>
      <c r="H329" s="2" t="s">
        <v>18</v>
      </c>
      <c r="I329" s="3">
        <v>45394</v>
      </c>
    </row>
    <row r="330" spans="1:9" ht="15.75" customHeight="1" x14ac:dyDescent="0.25">
      <c r="A330" s="2" t="s">
        <v>679</v>
      </c>
      <c r="B330" s="2" t="s">
        <v>680</v>
      </c>
      <c r="C330" s="2" t="s">
        <v>11</v>
      </c>
      <c r="D330" s="2">
        <v>109</v>
      </c>
      <c r="E330" s="2">
        <v>3</v>
      </c>
      <c r="F330" s="2" t="s">
        <v>21</v>
      </c>
      <c r="G330" s="2">
        <v>2009</v>
      </c>
      <c r="H330" s="2" t="s">
        <v>13</v>
      </c>
      <c r="I330" s="3">
        <v>45161</v>
      </c>
    </row>
    <row r="331" spans="1:9" ht="15.75" customHeight="1" x14ac:dyDescent="0.25">
      <c r="A331" s="2" t="s">
        <v>681</v>
      </c>
      <c r="B331" s="2" t="s">
        <v>682</v>
      </c>
      <c r="C331" s="2" t="s">
        <v>11</v>
      </c>
      <c r="D331" s="2">
        <v>135</v>
      </c>
      <c r="E331" s="2">
        <v>2</v>
      </c>
      <c r="F331" s="2" t="s">
        <v>12</v>
      </c>
      <c r="G331" s="2">
        <v>2021</v>
      </c>
      <c r="H331" s="2" t="s">
        <v>18</v>
      </c>
      <c r="I331" s="3">
        <v>45225</v>
      </c>
    </row>
    <row r="332" spans="1:9" ht="15.75" customHeight="1" x14ac:dyDescent="0.25">
      <c r="A332" s="2" t="s">
        <v>683</v>
      </c>
      <c r="B332" s="2" t="s">
        <v>684</v>
      </c>
      <c r="C332" s="2" t="s">
        <v>54</v>
      </c>
      <c r="D332" s="2">
        <v>118</v>
      </c>
      <c r="E332" s="2">
        <v>8.6</v>
      </c>
      <c r="F332" s="2" t="s">
        <v>24</v>
      </c>
      <c r="G332" s="2">
        <v>1996</v>
      </c>
      <c r="H332" s="2" t="s">
        <v>18</v>
      </c>
      <c r="I332" s="3">
        <v>45148</v>
      </c>
    </row>
    <row r="333" spans="1:9" ht="15.75" customHeight="1" x14ac:dyDescent="0.25">
      <c r="A333" s="2" t="s">
        <v>685</v>
      </c>
      <c r="B333" s="2" t="s">
        <v>686</v>
      </c>
      <c r="C333" s="2" t="s">
        <v>31</v>
      </c>
      <c r="D333" s="2">
        <v>152</v>
      </c>
      <c r="E333" s="2">
        <v>4.3</v>
      </c>
      <c r="F333" s="2" t="s">
        <v>24</v>
      </c>
      <c r="G333" s="2">
        <v>2025</v>
      </c>
      <c r="H333" s="2" t="s">
        <v>13</v>
      </c>
      <c r="I333" s="3">
        <v>43966</v>
      </c>
    </row>
    <row r="334" spans="1:9" ht="15.75" customHeight="1" x14ac:dyDescent="0.25">
      <c r="A334" s="2" t="s">
        <v>687</v>
      </c>
      <c r="B334" s="2" t="s">
        <v>688</v>
      </c>
      <c r="C334" s="2" t="s">
        <v>31</v>
      </c>
      <c r="D334" s="2">
        <v>105</v>
      </c>
      <c r="E334" s="2">
        <v>7.9</v>
      </c>
      <c r="F334" s="2" t="s">
        <v>49</v>
      </c>
      <c r="G334" s="2">
        <v>1991</v>
      </c>
      <c r="H334" s="2" t="s">
        <v>18</v>
      </c>
      <c r="I334" s="3">
        <v>44466</v>
      </c>
    </row>
    <row r="335" spans="1:9" ht="15.75" customHeight="1" x14ac:dyDescent="0.25">
      <c r="A335" s="2" t="s">
        <v>689</v>
      </c>
      <c r="B335" s="2" t="s">
        <v>690</v>
      </c>
      <c r="C335" s="2" t="s">
        <v>27</v>
      </c>
      <c r="D335" s="2">
        <v>137</v>
      </c>
      <c r="E335" s="2">
        <v>6.2</v>
      </c>
      <c r="F335" s="2" t="s">
        <v>17</v>
      </c>
      <c r="G335" s="2">
        <v>1980</v>
      </c>
      <c r="H335" s="2" t="s">
        <v>18</v>
      </c>
      <c r="I335" s="3">
        <v>45261</v>
      </c>
    </row>
    <row r="336" spans="1:9" ht="15.75" customHeight="1" x14ac:dyDescent="0.25">
      <c r="A336" s="2" t="s">
        <v>691</v>
      </c>
      <c r="B336" s="2" t="s">
        <v>692</v>
      </c>
      <c r="C336" s="2" t="s">
        <v>31</v>
      </c>
      <c r="D336" s="2">
        <v>63</v>
      </c>
      <c r="E336" s="2">
        <v>8.3000000000000007</v>
      </c>
      <c r="F336" s="2" t="s">
        <v>28</v>
      </c>
      <c r="G336" s="2">
        <v>2001</v>
      </c>
      <c r="H336" s="2" t="s">
        <v>13</v>
      </c>
      <c r="I336" s="3">
        <v>44726</v>
      </c>
    </row>
    <row r="337" spans="1:9" ht="15.75" customHeight="1" x14ac:dyDescent="0.25">
      <c r="A337" s="2" t="s">
        <v>693</v>
      </c>
      <c r="B337" s="2" t="s">
        <v>694</v>
      </c>
      <c r="C337" s="2" t="s">
        <v>16</v>
      </c>
      <c r="D337" s="2">
        <v>196</v>
      </c>
      <c r="E337" s="2">
        <v>8.6</v>
      </c>
      <c r="F337" s="2" t="s">
        <v>17</v>
      </c>
      <c r="G337" s="2">
        <v>1998</v>
      </c>
      <c r="H337" s="2" t="s">
        <v>18</v>
      </c>
      <c r="I337" s="3">
        <v>45325</v>
      </c>
    </row>
    <row r="338" spans="1:9" ht="15.75" customHeight="1" x14ac:dyDescent="0.25">
      <c r="A338" s="2" t="s">
        <v>695</v>
      </c>
      <c r="B338" s="2" t="s">
        <v>696</v>
      </c>
      <c r="C338" s="2" t="s">
        <v>46</v>
      </c>
      <c r="D338" s="2">
        <v>92</v>
      </c>
      <c r="E338" s="2">
        <v>9.8000000000000007</v>
      </c>
      <c r="F338" s="2" t="s">
        <v>21</v>
      </c>
      <c r="G338" s="2">
        <v>2016</v>
      </c>
      <c r="H338" s="2" t="s">
        <v>13</v>
      </c>
      <c r="I338" s="3">
        <v>44319</v>
      </c>
    </row>
    <row r="339" spans="1:9" ht="15.75" customHeight="1" x14ac:dyDescent="0.25">
      <c r="A339" s="2" t="s">
        <v>697</v>
      </c>
      <c r="B339" s="2" t="s">
        <v>698</v>
      </c>
      <c r="C339" s="2" t="s">
        <v>11</v>
      </c>
      <c r="D339" s="2">
        <v>130</v>
      </c>
      <c r="E339" s="2">
        <v>8.4</v>
      </c>
      <c r="F339" s="2" t="s">
        <v>12</v>
      </c>
      <c r="G339" s="2">
        <v>2023</v>
      </c>
      <c r="H339" s="2" t="s">
        <v>18</v>
      </c>
      <c r="I339" s="3">
        <v>43949</v>
      </c>
    </row>
    <row r="340" spans="1:9" ht="15.75" customHeight="1" x14ac:dyDescent="0.25">
      <c r="A340" s="2" t="s">
        <v>699</v>
      </c>
      <c r="B340" s="2" t="s">
        <v>700</v>
      </c>
      <c r="C340" s="2" t="s">
        <v>46</v>
      </c>
      <c r="D340" s="2">
        <v>71</v>
      </c>
      <c r="E340" s="2">
        <v>6.5</v>
      </c>
      <c r="F340" s="2" t="s">
        <v>49</v>
      </c>
      <c r="G340" s="2">
        <v>1992</v>
      </c>
      <c r="H340" s="2" t="s">
        <v>13</v>
      </c>
      <c r="I340" s="3">
        <v>44331</v>
      </c>
    </row>
    <row r="341" spans="1:9" ht="15.75" customHeight="1" x14ac:dyDescent="0.25">
      <c r="A341" s="2" t="s">
        <v>701</v>
      </c>
      <c r="B341" s="2" t="s">
        <v>702</v>
      </c>
      <c r="C341" s="2" t="s">
        <v>16</v>
      </c>
      <c r="D341" s="2">
        <v>73</v>
      </c>
      <c r="E341" s="2">
        <v>6.8</v>
      </c>
      <c r="F341" s="2" t="s">
        <v>24</v>
      </c>
      <c r="G341" s="2">
        <v>1991</v>
      </c>
      <c r="H341" s="2" t="s">
        <v>18</v>
      </c>
      <c r="I341" s="3">
        <v>44007</v>
      </c>
    </row>
    <row r="342" spans="1:9" ht="15.75" customHeight="1" x14ac:dyDescent="0.25">
      <c r="A342" s="2" t="s">
        <v>703</v>
      </c>
      <c r="B342" s="2" t="s">
        <v>704</v>
      </c>
      <c r="C342" s="2" t="s">
        <v>11</v>
      </c>
      <c r="D342" s="2">
        <v>134</v>
      </c>
      <c r="E342" s="2">
        <v>1.2</v>
      </c>
      <c r="F342" s="2" t="s">
        <v>24</v>
      </c>
      <c r="G342" s="2">
        <v>2019</v>
      </c>
      <c r="H342" s="2" t="s">
        <v>18</v>
      </c>
      <c r="I342" s="3">
        <v>44720</v>
      </c>
    </row>
    <row r="343" spans="1:9" ht="15.75" customHeight="1" x14ac:dyDescent="0.25">
      <c r="A343" s="2" t="s">
        <v>705</v>
      </c>
      <c r="B343" s="2" t="s">
        <v>706</v>
      </c>
      <c r="C343" s="2" t="s">
        <v>27</v>
      </c>
      <c r="D343" s="2">
        <v>92</v>
      </c>
      <c r="E343" s="2">
        <v>9.4</v>
      </c>
      <c r="F343" s="2" t="s">
        <v>49</v>
      </c>
      <c r="G343" s="2">
        <v>2020</v>
      </c>
      <c r="H343" s="2" t="s">
        <v>13</v>
      </c>
      <c r="I343" s="3">
        <v>44068</v>
      </c>
    </row>
    <row r="344" spans="1:9" ht="15.75" customHeight="1" x14ac:dyDescent="0.25">
      <c r="A344" s="2" t="s">
        <v>707</v>
      </c>
      <c r="B344" s="2" t="s">
        <v>708</v>
      </c>
      <c r="C344" s="2" t="s">
        <v>16</v>
      </c>
      <c r="D344" s="2">
        <v>185</v>
      </c>
      <c r="E344" s="2">
        <v>8.5</v>
      </c>
      <c r="F344" s="2" t="s">
        <v>28</v>
      </c>
      <c r="G344" s="2">
        <v>2005</v>
      </c>
      <c r="H344" s="2" t="s">
        <v>18</v>
      </c>
      <c r="I344" s="3">
        <v>44759</v>
      </c>
    </row>
    <row r="345" spans="1:9" ht="15.75" customHeight="1" x14ac:dyDescent="0.25">
      <c r="A345" s="2" t="s">
        <v>709</v>
      </c>
      <c r="B345" s="2" t="s">
        <v>710</v>
      </c>
      <c r="C345" s="2" t="s">
        <v>16</v>
      </c>
      <c r="D345" s="2">
        <v>86</v>
      </c>
      <c r="E345" s="2">
        <v>3.4</v>
      </c>
      <c r="F345" s="2" t="s">
        <v>17</v>
      </c>
      <c r="G345" s="2">
        <v>2007</v>
      </c>
      <c r="H345" s="2" t="s">
        <v>18</v>
      </c>
      <c r="I345" s="3">
        <v>45084</v>
      </c>
    </row>
    <row r="346" spans="1:9" ht="15.75" customHeight="1" x14ac:dyDescent="0.25">
      <c r="A346" s="2" t="s">
        <v>711</v>
      </c>
      <c r="B346" s="2" t="s">
        <v>712</v>
      </c>
      <c r="C346" s="2" t="s">
        <v>46</v>
      </c>
      <c r="D346" s="2">
        <v>63</v>
      </c>
      <c r="E346" s="2">
        <v>2.6</v>
      </c>
      <c r="F346" s="2" t="s">
        <v>21</v>
      </c>
      <c r="G346" s="2">
        <v>2012</v>
      </c>
      <c r="H346" s="2" t="s">
        <v>18</v>
      </c>
      <c r="I346" s="3">
        <v>45077</v>
      </c>
    </row>
    <row r="347" spans="1:9" ht="15.75" customHeight="1" x14ac:dyDescent="0.25">
      <c r="A347" s="2" t="s">
        <v>713</v>
      </c>
      <c r="B347" s="2" t="s">
        <v>714</v>
      </c>
      <c r="C347" s="2" t="s">
        <v>54</v>
      </c>
      <c r="D347" s="2">
        <v>132</v>
      </c>
      <c r="E347" s="2">
        <v>7.3</v>
      </c>
      <c r="F347" s="2" t="s">
        <v>17</v>
      </c>
      <c r="G347" s="2">
        <v>2000</v>
      </c>
      <c r="H347" s="2" t="s">
        <v>18</v>
      </c>
      <c r="I347" s="3">
        <v>43943</v>
      </c>
    </row>
    <row r="348" spans="1:9" ht="15.75" customHeight="1" x14ac:dyDescent="0.25">
      <c r="A348" s="2" t="s">
        <v>715</v>
      </c>
      <c r="B348" s="2" t="s">
        <v>716</v>
      </c>
      <c r="C348" s="2" t="s">
        <v>46</v>
      </c>
      <c r="D348" s="2">
        <v>180</v>
      </c>
      <c r="E348" s="2">
        <v>3.8</v>
      </c>
      <c r="F348" s="2" t="s">
        <v>24</v>
      </c>
      <c r="G348" s="2">
        <v>1985</v>
      </c>
      <c r="H348" s="2" t="s">
        <v>13</v>
      </c>
      <c r="I348" s="3">
        <v>44464</v>
      </c>
    </row>
    <row r="349" spans="1:9" ht="15.75" customHeight="1" x14ac:dyDescent="0.25">
      <c r="A349" s="2" t="s">
        <v>717</v>
      </c>
      <c r="B349" s="2" t="s">
        <v>718</v>
      </c>
      <c r="C349" s="2" t="s">
        <v>46</v>
      </c>
      <c r="D349" s="2">
        <v>182</v>
      </c>
      <c r="E349" s="2">
        <v>4.0999999999999996</v>
      </c>
      <c r="F349" s="2" t="s">
        <v>49</v>
      </c>
      <c r="G349" s="2">
        <v>2005</v>
      </c>
      <c r="H349" s="2" t="s">
        <v>18</v>
      </c>
      <c r="I349" s="3">
        <v>45195</v>
      </c>
    </row>
    <row r="350" spans="1:9" ht="15.75" customHeight="1" x14ac:dyDescent="0.25">
      <c r="A350" s="2" t="s">
        <v>719</v>
      </c>
      <c r="B350" s="2" t="s">
        <v>720</v>
      </c>
      <c r="C350" s="2" t="s">
        <v>31</v>
      </c>
      <c r="D350" s="2">
        <v>172</v>
      </c>
      <c r="E350" s="2">
        <v>1.1000000000000001</v>
      </c>
      <c r="F350" s="2" t="s">
        <v>24</v>
      </c>
      <c r="G350" s="2">
        <v>2022</v>
      </c>
      <c r="H350" s="2" t="s">
        <v>13</v>
      </c>
      <c r="I350" s="3">
        <v>45349</v>
      </c>
    </row>
    <row r="351" spans="1:9" ht="15.75" customHeight="1" x14ac:dyDescent="0.25">
      <c r="A351" s="2" t="s">
        <v>721</v>
      </c>
      <c r="B351" s="2" t="s">
        <v>722</v>
      </c>
      <c r="C351" s="2" t="s">
        <v>16</v>
      </c>
      <c r="D351" s="2">
        <v>147</v>
      </c>
      <c r="E351" s="2">
        <v>8.8000000000000007</v>
      </c>
      <c r="F351" s="2" t="s">
        <v>12</v>
      </c>
      <c r="G351" s="2">
        <v>1986</v>
      </c>
      <c r="H351" s="2" t="s">
        <v>13</v>
      </c>
      <c r="I351" s="3">
        <v>45178</v>
      </c>
    </row>
    <row r="352" spans="1:9" ht="15.75" customHeight="1" x14ac:dyDescent="0.25">
      <c r="A352" s="2" t="s">
        <v>723</v>
      </c>
      <c r="B352" s="2" t="s">
        <v>724</v>
      </c>
      <c r="C352" s="2" t="s">
        <v>46</v>
      </c>
      <c r="D352" s="2">
        <v>107</v>
      </c>
      <c r="E352" s="2">
        <v>6.1</v>
      </c>
      <c r="F352" s="2" t="s">
        <v>24</v>
      </c>
      <c r="G352" s="2">
        <v>1991</v>
      </c>
      <c r="H352" s="2" t="s">
        <v>13</v>
      </c>
      <c r="I352" s="3">
        <v>45347</v>
      </c>
    </row>
    <row r="353" spans="1:9" ht="15.75" customHeight="1" x14ac:dyDescent="0.25">
      <c r="A353" s="2" t="s">
        <v>725</v>
      </c>
      <c r="B353" s="2" t="s">
        <v>726</v>
      </c>
      <c r="C353" s="2" t="s">
        <v>16</v>
      </c>
      <c r="D353" s="2">
        <v>73</v>
      </c>
      <c r="E353" s="2">
        <v>4.5999999999999996</v>
      </c>
      <c r="F353" s="2" t="s">
        <v>21</v>
      </c>
      <c r="G353" s="2">
        <v>1988</v>
      </c>
      <c r="H353" s="2" t="s">
        <v>18</v>
      </c>
      <c r="I353" s="3">
        <v>44190</v>
      </c>
    </row>
    <row r="354" spans="1:9" ht="15.75" customHeight="1" x14ac:dyDescent="0.25">
      <c r="A354" s="2" t="s">
        <v>727</v>
      </c>
      <c r="B354" s="2" t="s">
        <v>728</v>
      </c>
      <c r="C354" s="2" t="s">
        <v>31</v>
      </c>
      <c r="D354" s="2">
        <v>124</v>
      </c>
      <c r="E354" s="2">
        <v>2.2999999999999998</v>
      </c>
      <c r="F354" s="2" t="s">
        <v>28</v>
      </c>
      <c r="G354" s="2">
        <v>2010</v>
      </c>
      <c r="H354" s="2" t="s">
        <v>13</v>
      </c>
      <c r="I354" s="3">
        <v>44075</v>
      </c>
    </row>
    <row r="355" spans="1:9" ht="15.75" customHeight="1" x14ac:dyDescent="0.25">
      <c r="A355" s="2" t="s">
        <v>729</v>
      </c>
      <c r="B355" s="2" t="s">
        <v>730</v>
      </c>
      <c r="C355" s="2" t="s">
        <v>16</v>
      </c>
      <c r="D355" s="2">
        <v>182</v>
      </c>
      <c r="E355" s="2">
        <v>6.7</v>
      </c>
      <c r="F355" s="2" t="s">
        <v>28</v>
      </c>
      <c r="G355" s="2">
        <v>2000</v>
      </c>
      <c r="H355" s="2" t="s">
        <v>13</v>
      </c>
      <c r="I355" s="3">
        <v>43856</v>
      </c>
    </row>
    <row r="356" spans="1:9" ht="15.75" customHeight="1" x14ac:dyDescent="0.25">
      <c r="A356" s="2" t="s">
        <v>731</v>
      </c>
      <c r="B356" s="2" t="s">
        <v>732</v>
      </c>
      <c r="C356" s="2" t="s">
        <v>46</v>
      </c>
      <c r="D356" s="2">
        <v>89</v>
      </c>
      <c r="E356" s="2">
        <v>1.3</v>
      </c>
      <c r="F356" s="2" t="s">
        <v>12</v>
      </c>
      <c r="G356" s="2">
        <v>1995</v>
      </c>
      <c r="H356" s="2" t="s">
        <v>18</v>
      </c>
      <c r="I356" s="3">
        <v>45280</v>
      </c>
    </row>
    <row r="357" spans="1:9" ht="15.75" customHeight="1" x14ac:dyDescent="0.25">
      <c r="A357" s="2" t="s">
        <v>733</v>
      </c>
      <c r="B357" s="2" t="s">
        <v>734</v>
      </c>
      <c r="C357" s="2" t="s">
        <v>16</v>
      </c>
      <c r="D357" s="2">
        <v>76</v>
      </c>
      <c r="E357" s="2">
        <v>7.7</v>
      </c>
      <c r="F357" s="2" t="s">
        <v>21</v>
      </c>
      <c r="G357" s="2">
        <v>1980</v>
      </c>
      <c r="H357" s="2" t="s">
        <v>18</v>
      </c>
      <c r="I357" s="3">
        <v>44112</v>
      </c>
    </row>
    <row r="358" spans="1:9" ht="15.75" customHeight="1" x14ac:dyDescent="0.25">
      <c r="A358" s="2" t="s">
        <v>735</v>
      </c>
      <c r="B358" s="2" t="s">
        <v>736</v>
      </c>
      <c r="C358" s="2" t="s">
        <v>11</v>
      </c>
      <c r="D358" s="2">
        <v>162</v>
      </c>
      <c r="E358" s="2">
        <v>2.9</v>
      </c>
      <c r="F358" s="2" t="s">
        <v>49</v>
      </c>
      <c r="G358" s="2">
        <v>1996</v>
      </c>
      <c r="H358" s="2" t="s">
        <v>18</v>
      </c>
      <c r="I358" s="3">
        <v>45267</v>
      </c>
    </row>
    <row r="359" spans="1:9" ht="15.75" customHeight="1" x14ac:dyDescent="0.25">
      <c r="A359" s="2" t="s">
        <v>737</v>
      </c>
      <c r="B359" s="2" t="s">
        <v>738</v>
      </c>
      <c r="C359" s="2" t="s">
        <v>31</v>
      </c>
      <c r="D359" s="2">
        <v>185</v>
      </c>
      <c r="E359" s="2">
        <v>4.8</v>
      </c>
      <c r="F359" s="2" t="s">
        <v>17</v>
      </c>
      <c r="G359" s="2">
        <v>2004</v>
      </c>
      <c r="H359" s="2" t="s">
        <v>13</v>
      </c>
      <c r="I359" s="3">
        <v>43854</v>
      </c>
    </row>
    <row r="360" spans="1:9" ht="15.75" customHeight="1" x14ac:dyDescent="0.25">
      <c r="A360" s="2" t="s">
        <v>739</v>
      </c>
      <c r="B360" s="2" t="s">
        <v>740</v>
      </c>
      <c r="C360" s="2" t="s">
        <v>54</v>
      </c>
      <c r="D360" s="2">
        <v>78</v>
      </c>
      <c r="E360" s="2">
        <v>4.0999999999999996</v>
      </c>
      <c r="F360" s="2" t="s">
        <v>49</v>
      </c>
      <c r="G360" s="2">
        <v>1995</v>
      </c>
      <c r="H360" s="2" t="s">
        <v>13</v>
      </c>
      <c r="I360" s="3">
        <v>44166</v>
      </c>
    </row>
    <row r="361" spans="1:9" ht="15.75" customHeight="1" x14ac:dyDescent="0.25">
      <c r="A361" s="2" t="s">
        <v>741</v>
      </c>
      <c r="B361" s="2" t="s">
        <v>742</v>
      </c>
      <c r="C361" s="2" t="s">
        <v>16</v>
      </c>
      <c r="D361" s="2">
        <v>73</v>
      </c>
      <c r="E361" s="2">
        <v>4.3</v>
      </c>
      <c r="F361" s="2" t="s">
        <v>17</v>
      </c>
      <c r="G361" s="2">
        <v>2008</v>
      </c>
      <c r="H361" s="2" t="s">
        <v>13</v>
      </c>
      <c r="I361" s="3">
        <v>44847</v>
      </c>
    </row>
    <row r="362" spans="1:9" ht="15.75" customHeight="1" x14ac:dyDescent="0.25">
      <c r="A362" s="2" t="s">
        <v>743</v>
      </c>
      <c r="B362" s="2" t="s">
        <v>744</v>
      </c>
      <c r="C362" s="2" t="s">
        <v>46</v>
      </c>
      <c r="D362" s="2">
        <v>98</v>
      </c>
      <c r="E362" s="2">
        <v>7.5</v>
      </c>
      <c r="F362" s="2" t="s">
        <v>28</v>
      </c>
      <c r="G362" s="2">
        <v>1997</v>
      </c>
      <c r="H362" s="2" t="s">
        <v>18</v>
      </c>
      <c r="I362" s="3">
        <v>44541</v>
      </c>
    </row>
    <row r="363" spans="1:9" ht="15.75" customHeight="1" x14ac:dyDescent="0.25">
      <c r="A363" s="2" t="s">
        <v>745</v>
      </c>
      <c r="B363" s="2" t="s">
        <v>746</v>
      </c>
      <c r="C363" s="2" t="s">
        <v>31</v>
      </c>
      <c r="D363" s="2">
        <v>98</v>
      </c>
      <c r="E363" s="2">
        <v>8</v>
      </c>
      <c r="F363" s="2" t="s">
        <v>24</v>
      </c>
      <c r="G363" s="2">
        <v>2001</v>
      </c>
      <c r="H363" s="2" t="s">
        <v>13</v>
      </c>
      <c r="I363" s="3">
        <v>44902</v>
      </c>
    </row>
    <row r="364" spans="1:9" ht="15.75" customHeight="1" x14ac:dyDescent="0.25">
      <c r="A364" s="2" t="s">
        <v>747</v>
      </c>
      <c r="B364" s="2" t="s">
        <v>748</v>
      </c>
      <c r="C364" s="2" t="s">
        <v>46</v>
      </c>
      <c r="D364" s="2">
        <v>137</v>
      </c>
      <c r="E364" s="2">
        <v>6.1</v>
      </c>
      <c r="F364" s="2" t="s">
        <v>24</v>
      </c>
      <c r="G364" s="2">
        <v>1999</v>
      </c>
      <c r="H364" s="2" t="s">
        <v>13</v>
      </c>
      <c r="I364" s="3">
        <v>44890</v>
      </c>
    </row>
    <row r="365" spans="1:9" ht="15.75" customHeight="1" x14ac:dyDescent="0.25">
      <c r="A365" s="2" t="s">
        <v>749</v>
      </c>
      <c r="B365" s="2" t="s">
        <v>750</v>
      </c>
      <c r="C365" s="2" t="s">
        <v>46</v>
      </c>
      <c r="D365" s="2">
        <v>81</v>
      </c>
      <c r="E365" s="2">
        <v>1.8</v>
      </c>
      <c r="F365" s="2" t="s">
        <v>12</v>
      </c>
      <c r="G365" s="2">
        <v>2017</v>
      </c>
      <c r="H365" s="2" t="s">
        <v>18</v>
      </c>
      <c r="I365" s="3">
        <v>45434</v>
      </c>
    </row>
    <row r="366" spans="1:9" ht="15.75" customHeight="1" x14ac:dyDescent="0.25">
      <c r="A366" s="2" t="s">
        <v>751</v>
      </c>
      <c r="B366" s="2" t="s">
        <v>752</v>
      </c>
      <c r="C366" s="2" t="s">
        <v>16</v>
      </c>
      <c r="D366" s="2">
        <v>123</v>
      </c>
      <c r="E366" s="2">
        <v>1.5</v>
      </c>
      <c r="F366" s="2" t="s">
        <v>49</v>
      </c>
      <c r="G366" s="2">
        <v>2016</v>
      </c>
      <c r="H366" s="2" t="s">
        <v>18</v>
      </c>
      <c r="I366" s="3">
        <v>45515</v>
      </c>
    </row>
    <row r="367" spans="1:9" ht="15.75" customHeight="1" x14ac:dyDescent="0.25">
      <c r="A367" s="2" t="s">
        <v>753</v>
      </c>
      <c r="B367" s="2" t="s">
        <v>754</v>
      </c>
      <c r="C367" s="2" t="s">
        <v>46</v>
      </c>
      <c r="D367" s="2">
        <v>90</v>
      </c>
      <c r="E367" s="2">
        <v>2.4</v>
      </c>
      <c r="F367" s="2" t="s">
        <v>21</v>
      </c>
      <c r="G367" s="2">
        <v>1980</v>
      </c>
      <c r="H367" s="2" t="s">
        <v>18</v>
      </c>
      <c r="I367" s="3">
        <v>45307</v>
      </c>
    </row>
    <row r="368" spans="1:9" ht="15.75" customHeight="1" x14ac:dyDescent="0.25">
      <c r="A368" s="2" t="s">
        <v>755</v>
      </c>
      <c r="B368" s="2" t="s">
        <v>756</v>
      </c>
      <c r="C368" s="2" t="s">
        <v>16</v>
      </c>
      <c r="D368" s="2">
        <v>166</v>
      </c>
      <c r="E368" s="2">
        <v>6.6</v>
      </c>
      <c r="F368" s="2" t="s">
        <v>17</v>
      </c>
      <c r="G368" s="2">
        <v>1996</v>
      </c>
      <c r="H368" s="2" t="s">
        <v>18</v>
      </c>
      <c r="I368" s="3">
        <v>44361</v>
      </c>
    </row>
    <row r="369" spans="1:9" ht="15.75" customHeight="1" x14ac:dyDescent="0.25">
      <c r="A369" s="2" t="s">
        <v>757</v>
      </c>
      <c r="B369" s="2" t="s">
        <v>758</v>
      </c>
      <c r="C369" s="2" t="s">
        <v>54</v>
      </c>
      <c r="D369" s="2">
        <v>117</v>
      </c>
      <c r="E369" s="2">
        <v>7.1</v>
      </c>
      <c r="F369" s="2" t="s">
        <v>24</v>
      </c>
      <c r="G369" s="2">
        <v>2021</v>
      </c>
      <c r="H369" s="2" t="s">
        <v>13</v>
      </c>
      <c r="I369" s="3">
        <v>44172</v>
      </c>
    </row>
    <row r="370" spans="1:9" ht="15.75" customHeight="1" x14ac:dyDescent="0.25">
      <c r="A370" s="2" t="s">
        <v>759</v>
      </c>
      <c r="B370" s="2" t="s">
        <v>760</v>
      </c>
      <c r="C370" s="2" t="s">
        <v>11</v>
      </c>
      <c r="D370" s="2">
        <v>193</v>
      </c>
      <c r="E370" s="2">
        <v>3.4</v>
      </c>
      <c r="F370" s="2" t="s">
        <v>12</v>
      </c>
      <c r="G370" s="2">
        <v>2003</v>
      </c>
      <c r="H370" s="2" t="s">
        <v>18</v>
      </c>
      <c r="I370" s="3">
        <v>44592</v>
      </c>
    </row>
    <row r="371" spans="1:9" ht="15.75" customHeight="1" x14ac:dyDescent="0.25">
      <c r="A371" s="2" t="s">
        <v>761</v>
      </c>
      <c r="B371" s="2" t="s">
        <v>762</v>
      </c>
      <c r="C371" s="2" t="s">
        <v>46</v>
      </c>
      <c r="D371" s="2">
        <v>157</v>
      </c>
      <c r="E371" s="2">
        <v>7</v>
      </c>
      <c r="F371" s="2" t="s">
        <v>49</v>
      </c>
      <c r="G371" s="2">
        <v>2024</v>
      </c>
      <c r="H371" s="2" t="s">
        <v>13</v>
      </c>
      <c r="I371" s="3">
        <v>44090</v>
      </c>
    </row>
    <row r="372" spans="1:9" ht="15.75" customHeight="1" x14ac:dyDescent="0.25">
      <c r="A372" s="2" t="s">
        <v>763</v>
      </c>
      <c r="B372" s="2" t="s">
        <v>764</v>
      </c>
      <c r="C372" s="2" t="s">
        <v>46</v>
      </c>
      <c r="D372" s="2">
        <v>175</v>
      </c>
      <c r="E372" s="2">
        <v>5.4</v>
      </c>
      <c r="F372" s="2" t="s">
        <v>21</v>
      </c>
      <c r="G372" s="2">
        <v>1995</v>
      </c>
      <c r="H372" s="2" t="s">
        <v>18</v>
      </c>
      <c r="I372" s="3">
        <v>45366</v>
      </c>
    </row>
    <row r="373" spans="1:9" ht="15.75" customHeight="1" x14ac:dyDescent="0.25">
      <c r="A373" s="2" t="s">
        <v>765</v>
      </c>
      <c r="B373" s="2" t="s">
        <v>766</v>
      </c>
      <c r="C373" s="2" t="s">
        <v>46</v>
      </c>
      <c r="D373" s="2">
        <v>173</v>
      </c>
      <c r="E373" s="2">
        <v>5</v>
      </c>
      <c r="F373" s="2" t="s">
        <v>28</v>
      </c>
      <c r="G373" s="2">
        <v>1983</v>
      </c>
      <c r="H373" s="2" t="s">
        <v>13</v>
      </c>
      <c r="I373" s="3">
        <v>45430</v>
      </c>
    </row>
    <row r="374" spans="1:9" ht="15.75" customHeight="1" x14ac:dyDescent="0.25">
      <c r="A374" s="2" t="s">
        <v>767</v>
      </c>
      <c r="B374" s="2" t="s">
        <v>768</v>
      </c>
      <c r="C374" s="2" t="s">
        <v>27</v>
      </c>
      <c r="D374" s="2">
        <v>136</v>
      </c>
      <c r="E374" s="2">
        <v>3.5</v>
      </c>
      <c r="F374" s="2" t="s">
        <v>21</v>
      </c>
      <c r="G374" s="2">
        <v>2022</v>
      </c>
      <c r="H374" s="2" t="s">
        <v>18</v>
      </c>
      <c r="I374" s="3">
        <v>44381</v>
      </c>
    </row>
    <row r="375" spans="1:9" ht="15.75" customHeight="1" x14ac:dyDescent="0.25">
      <c r="A375" s="2" t="s">
        <v>769</v>
      </c>
      <c r="B375" s="2" t="s">
        <v>770</v>
      </c>
      <c r="C375" s="2" t="s">
        <v>27</v>
      </c>
      <c r="D375" s="2">
        <v>169</v>
      </c>
      <c r="E375" s="2">
        <v>7.8</v>
      </c>
      <c r="F375" s="2" t="s">
        <v>28</v>
      </c>
      <c r="G375" s="2">
        <v>1987</v>
      </c>
      <c r="H375" s="2" t="s">
        <v>18</v>
      </c>
      <c r="I375" s="3">
        <v>45332</v>
      </c>
    </row>
    <row r="376" spans="1:9" ht="15.75" customHeight="1" x14ac:dyDescent="0.25">
      <c r="A376" s="2" t="s">
        <v>771</v>
      </c>
      <c r="B376" s="2" t="s">
        <v>772</v>
      </c>
      <c r="C376" s="2" t="s">
        <v>31</v>
      </c>
      <c r="D376" s="2">
        <v>138</v>
      </c>
      <c r="E376" s="2">
        <v>2</v>
      </c>
      <c r="F376" s="2" t="s">
        <v>49</v>
      </c>
      <c r="G376" s="2">
        <v>2009</v>
      </c>
      <c r="H376" s="2" t="s">
        <v>13</v>
      </c>
      <c r="I376" s="3">
        <v>44072</v>
      </c>
    </row>
    <row r="377" spans="1:9" ht="15.75" customHeight="1" x14ac:dyDescent="0.25">
      <c r="A377" s="2" t="s">
        <v>773</v>
      </c>
      <c r="B377" s="2" t="s">
        <v>774</v>
      </c>
      <c r="C377" s="2" t="s">
        <v>11</v>
      </c>
      <c r="D377" s="2">
        <v>75</v>
      </c>
      <c r="E377" s="2">
        <v>4.9000000000000004</v>
      </c>
      <c r="F377" s="2" t="s">
        <v>21</v>
      </c>
      <c r="G377" s="2">
        <v>1999</v>
      </c>
      <c r="H377" s="2" t="s">
        <v>13</v>
      </c>
      <c r="I377" s="3">
        <v>45410</v>
      </c>
    </row>
    <row r="378" spans="1:9" ht="15.75" customHeight="1" x14ac:dyDescent="0.25">
      <c r="A378" s="2" t="s">
        <v>775</v>
      </c>
      <c r="B378" s="2" t="s">
        <v>776</v>
      </c>
      <c r="C378" s="2" t="s">
        <v>11</v>
      </c>
      <c r="D378" s="2">
        <v>85</v>
      </c>
      <c r="E378" s="2">
        <v>3.5</v>
      </c>
      <c r="F378" s="2" t="s">
        <v>12</v>
      </c>
      <c r="G378" s="2">
        <v>1990</v>
      </c>
      <c r="H378" s="2" t="s">
        <v>13</v>
      </c>
      <c r="I378" s="3">
        <v>43891</v>
      </c>
    </row>
    <row r="379" spans="1:9" ht="15.75" customHeight="1" x14ac:dyDescent="0.25">
      <c r="A379" s="2" t="s">
        <v>777</v>
      </c>
      <c r="B379" s="2" t="s">
        <v>778</v>
      </c>
      <c r="C379" s="2" t="s">
        <v>27</v>
      </c>
      <c r="D379" s="2">
        <v>113</v>
      </c>
      <c r="E379" s="2">
        <v>7.1</v>
      </c>
      <c r="F379" s="2" t="s">
        <v>49</v>
      </c>
      <c r="G379" s="2">
        <v>2005</v>
      </c>
      <c r="H379" s="2" t="s">
        <v>18</v>
      </c>
      <c r="I379" s="3">
        <v>44517</v>
      </c>
    </row>
    <row r="380" spans="1:9" ht="15.75" customHeight="1" x14ac:dyDescent="0.25">
      <c r="A380" s="2" t="s">
        <v>779</v>
      </c>
      <c r="B380" s="2" t="s">
        <v>780</v>
      </c>
      <c r="C380" s="2" t="s">
        <v>31</v>
      </c>
      <c r="D380" s="2">
        <v>114</v>
      </c>
      <c r="E380" s="2">
        <v>5.4</v>
      </c>
      <c r="F380" s="2" t="s">
        <v>28</v>
      </c>
      <c r="G380" s="2">
        <v>2023</v>
      </c>
      <c r="H380" s="2" t="s">
        <v>18</v>
      </c>
      <c r="I380" s="3">
        <v>45483</v>
      </c>
    </row>
    <row r="381" spans="1:9" ht="15.75" customHeight="1" x14ac:dyDescent="0.25">
      <c r="A381" s="2" t="s">
        <v>781</v>
      </c>
      <c r="B381" s="2" t="s">
        <v>782</v>
      </c>
      <c r="C381" s="2" t="s">
        <v>27</v>
      </c>
      <c r="D381" s="2">
        <v>127</v>
      </c>
      <c r="E381" s="2">
        <v>7</v>
      </c>
      <c r="F381" s="2" t="s">
        <v>12</v>
      </c>
      <c r="G381" s="2">
        <v>2012</v>
      </c>
      <c r="H381" s="2" t="s">
        <v>18</v>
      </c>
      <c r="I381" s="3">
        <v>44710</v>
      </c>
    </row>
    <row r="382" spans="1:9" ht="15.75" customHeight="1" x14ac:dyDescent="0.25">
      <c r="A382" s="2" t="s">
        <v>783</v>
      </c>
      <c r="B382" s="2" t="s">
        <v>784</v>
      </c>
      <c r="C382" s="2" t="s">
        <v>54</v>
      </c>
      <c r="D382" s="2">
        <v>80</v>
      </c>
      <c r="E382" s="2">
        <v>1.4</v>
      </c>
      <c r="F382" s="2" t="s">
        <v>24</v>
      </c>
      <c r="G382" s="2">
        <v>2025</v>
      </c>
      <c r="H382" s="2" t="s">
        <v>18</v>
      </c>
      <c r="I382" s="3">
        <v>44388</v>
      </c>
    </row>
    <row r="383" spans="1:9" ht="15.75" customHeight="1" x14ac:dyDescent="0.25">
      <c r="A383" s="2" t="s">
        <v>785</v>
      </c>
      <c r="B383" s="2" t="s">
        <v>786</v>
      </c>
      <c r="C383" s="2" t="s">
        <v>31</v>
      </c>
      <c r="D383" s="2">
        <v>100</v>
      </c>
      <c r="E383" s="2">
        <v>4.5999999999999996</v>
      </c>
      <c r="F383" s="2" t="s">
        <v>12</v>
      </c>
      <c r="G383" s="2">
        <v>1999</v>
      </c>
      <c r="H383" s="2" t="s">
        <v>13</v>
      </c>
      <c r="I383" s="3">
        <v>44903</v>
      </c>
    </row>
    <row r="384" spans="1:9" ht="15.75" customHeight="1" x14ac:dyDescent="0.25">
      <c r="A384" s="2" t="s">
        <v>787</v>
      </c>
      <c r="B384" s="2" t="s">
        <v>788</v>
      </c>
      <c r="C384" s="2" t="s">
        <v>11</v>
      </c>
      <c r="D384" s="2">
        <v>121</v>
      </c>
      <c r="E384" s="2">
        <v>6.4</v>
      </c>
      <c r="F384" s="2" t="s">
        <v>24</v>
      </c>
      <c r="G384" s="2">
        <v>2024</v>
      </c>
      <c r="H384" s="2" t="s">
        <v>18</v>
      </c>
      <c r="I384" s="3">
        <v>43961</v>
      </c>
    </row>
    <row r="385" spans="1:9" ht="15.75" customHeight="1" x14ac:dyDescent="0.25">
      <c r="A385" s="2" t="s">
        <v>789</v>
      </c>
      <c r="B385" s="2" t="s">
        <v>790</v>
      </c>
      <c r="C385" s="2" t="s">
        <v>11</v>
      </c>
      <c r="D385" s="2">
        <v>104</v>
      </c>
      <c r="E385" s="2">
        <v>1.1000000000000001</v>
      </c>
      <c r="F385" s="2" t="s">
        <v>12</v>
      </c>
      <c r="G385" s="2">
        <v>1987</v>
      </c>
      <c r="H385" s="2" t="s">
        <v>18</v>
      </c>
      <c r="I385" s="3">
        <v>44369</v>
      </c>
    </row>
    <row r="386" spans="1:9" ht="15.75" customHeight="1" x14ac:dyDescent="0.25">
      <c r="A386" s="2" t="s">
        <v>791</v>
      </c>
      <c r="B386" s="2" t="s">
        <v>792</v>
      </c>
      <c r="C386" s="2" t="s">
        <v>27</v>
      </c>
      <c r="D386" s="2">
        <v>79</v>
      </c>
      <c r="E386" s="2">
        <v>3.7</v>
      </c>
      <c r="F386" s="2" t="s">
        <v>28</v>
      </c>
      <c r="G386" s="2">
        <v>2020</v>
      </c>
      <c r="H386" s="2" t="s">
        <v>18</v>
      </c>
      <c r="I386" s="3">
        <v>45289</v>
      </c>
    </row>
    <row r="387" spans="1:9" ht="15.75" customHeight="1" x14ac:dyDescent="0.25">
      <c r="A387" s="2" t="s">
        <v>793</v>
      </c>
      <c r="B387" s="2" t="s">
        <v>794</v>
      </c>
      <c r="C387" s="2" t="s">
        <v>54</v>
      </c>
      <c r="D387" s="2">
        <v>100</v>
      </c>
      <c r="E387" s="2">
        <v>2.9</v>
      </c>
      <c r="F387" s="2" t="s">
        <v>17</v>
      </c>
      <c r="G387" s="2">
        <v>1998</v>
      </c>
      <c r="H387" s="2" t="s">
        <v>13</v>
      </c>
      <c r="I387" s="3">
        <v>45011</v>
      </c>
    </row>
    <row r="388" spans="1:9" ht="15.75" customHeight="1" x14ac:dyDescent="0.25">
      <c r="A388" s="2" t="s">
        <v>795</v>
      </c>
      <c r="B388" s="2" t="s">
        <v>796</v>
      </c>
      <c r="C388" s="2" t="s">
        <v>27</v>
      </c>
      <c r="D388" s="2">
        <v>60</v>
      </c>
      <c r="E388" s="2">
        <v>2.2000000000000002</v>
      </c>
      <c r="F388" s="2" t="s">
        <v>17</v>
      </c>
      <c r="G388" s="2">
        <v>2003</v>
      </c>
      <c r="H388" s="2" t="s">
        <v>18</v>
      </c>
      <c r="I388" s="3">
        <v>45116</v>
      </c>
    </row>
    <row r="389" spans="1:9" ht="15.75" customHeight="1" x14ac:dyDescent="0.25">
      <c r="A389" s="2" t="s">
        <v>797</v>
      </c>
      <c r="B389" s="2" t="s">
        <v>798</v>
      </c>
      <c r="C389" s="2" t="s">
        <v>16</v>
      </c>
      <c r="D389" s="2">
        <v>164</v>
      </c>
      <c r="E389" s="2">
        <v>3.3</v>
      </c>
      <c r="F389" s="2" t="s">
        <v>24</v>
      </c>
      <c r="G389" s="2">
        <v>2019</v>
      </c>
      <c r="H389" s="2" t="s">
        <v>18</v>
      </c>
      <c r="I389" s="3">
        <v>43988</v>
      </c>
    </row>
    <row r="390" spans="1:9" ht="15.75" customHeight="1" x14ac:dyDescent="0.25">
      <c r="A390" s="2" t="s">
        <v>799</v>
      </c>
      <c r="B390" s="2" t="s">
        <v>800</v>
      </c>
      <c r="C390" s="2" t="s">
        <v>16</v>
      </c>
      <c r="D390" s="2">
        <v>175</v>
      </c>
      <c r="E390" s="2">
        <v>4</v>
      </c>
      <c r="F390" s="2" t="s">
        <v>24</v>
      </c>
      <c r="G390" s="2">
        <v>1994</v>
      </c>
      <c r="H390" s="2" t="s">
        <v>18</v>
      </c>
      <c r="I390" s="3">
        <v>44847</v>
      </c>
    </row>
    <row r="391" spans="1:9" ht="15.75" customHeight="1" x14ac:dyDescent="0.25">
      <c r="A391" s="2" t="s">
        <v>801</v>
      </c>
      <c r="B391" s="2" t="s">
        <v>802</v>
      </c>
      <c r="C391" s="2" t="s">
        <v>54</v>
      </c>
      <c r="D391" s="2">
        <v>180</v>
      </c>
      <c r="E391" s="2">
        <v>1.1000000000000001</v>
      </c>
      <c r="F391" s="2" t="s">
        <v>21</v>
      </c>
      <c r="G391" s="2">
        <v>1994</v>
      </c>
      <c r="H391" s="2" t="s">
        <v>13</v>
      </c>
      <c r="I391" s="3">
        <v>44763</v>
      </c>
    </row>
    <row r="392" spans="1:9" ht="15.75" customHeight="1" x14ac:dyDescent="0.25">
      <c r="A392" s="2" t="s">
        <v>803</v>
      </c>
      <c r="B392" s="2" t="s">
        <v>804</v>
      </c>
      <c r="C392" s="2" t="s">
        <v>46</v>
      </c>
      <c r="D392" s="2">
        <v>134</v>
      </c>
      <c r="E392" s="2">
        <v>7.7</v>
      </c>
      <c r="F392" s="2" t="s">
        <v>12</v>
      </c>
      <c r="G392" s="2">
        <v>1988</v>
      </c>
      <c r="H392" s="2" t="s">
        <v>18</v>
      </c>
      <c r="I392" s="3">
        <v>44877</v>
      </c>
    </row>
    <row r="393" spans="1:9" ht="15.75" customHeight="1" x14ac:dyDescent="0.25">
      <c r="A393" s="2" t="s">
        <v>805</v>
      </c>
      <c r="B393" s="2" t="s">
        <v>806</v>
      </c>
      <c r="C393" s="2" t="s">
        <v>46</v>
      </c>
      <c r="D393" s="2">
        <v>68</v>
      </c>
      <c r="E393" s="2">
        <v>2.6</v>
      </c>
      <c r="F393" s="2" t="s">
        <v>12</v>
      </c>
      <c r="G393" s="2">
        <v>2010</v>
      </c>
      <c r="H393" s="2" t="s">
        <v>13</v>
      </c>
      <c r="I393" s="3">
        <v>44568</v>
      </c>
    </row>
    <row r="394" spans="1:9" ht="15.75" customHeight="1" x14ac:dyDescent="0.25">
      <c r="A394" s="2" t="s">
        <v>807</v>
      </c>
      <c r="B394" s="2" t="s">
        <v>808</v>
      </c>
      <c r="C394" s="2" t="s">
        <v>16</v>
      </c>
      <c r="D394" s="2">
        <v>119</v>
      </c>
      <c r="E394" s="2">
        <v>4.4000000000000004</v>
      </c>
      <c r="F394" s="2" t="s">
        <v>12</v>
      </c>
      <c r="G394" s="2">
        <v>1989</v>
      </c>
      <c r="H394" s="2" t="s">
        <v>13</v>
      </c>
      <c r="I394" s="3">
        <v>43944</v>
      </c>
    </row>
    <row r="395" spans="1:9" ht="15.75" customHeight="1" x14ac:dyDescent="0.25">
      <c r="A395" s="2" t="s">
        <v>809</v>
      </c>
      <c r="B395" s="2" t="s">
        <v>810</v>
      </c>
      <c r="C395" s="2" t="s">
        <v>16</v>
      </c>
      <c r="D395" s="2">
        <v>133</v>
      </c>
      <c r="E395" s="2">
        <v>7.3</v>
      </c>
      <c r="F395" s="2" t="s">
        <v>12</v>
      </c>
      <c r="G395" s="2">
        <v>2009</v>
      </c>
      <c r="H395" s="2" t="s">
        <v>13</v>
      </c>
      <c r="I395" s="3">
        <v>44854</v>
      </c>
    </row>
    <row r="396" spans="1:9" ht="15.75" customHeight="1" x14ac:dyDescent="0.25">
      <c r="A396" s="2" t="s">
        <v>811</v>
      </c>
      <c r="B396" s="2" t="s">
        <v>812</v>
      </c>
      <c r="C396" s="2" t="s">
        <v>46</v>
      </c>
      <c r="D396" s="2">
        <v>132</v>
      </c>
      <c r="E396" s="2">
        <v>5.5</v>
      </c>
      <c r="F396" s="2" t="s">
        <v>21</v>
      </c>
      <c r="G396" s="2">
        <v>2018</v>
      </c>
      <c r="H396" s="2" t="s">
        <v>18</v>
      </c>
      <c r="I396" s="3">
        <v>44991</v>
      </c>
    </row>
    <row r="397" spans="1:9" ht="15.75" customHeight="1" x14ac:dyDescent="0.25">
      <c r="A397" s="2" t="s">
        <v>813</v>
      </c>
      <c r="B397" s="2" t="s">
        <v>814</v>
      </c>
      <c r="C397" s="2" t="s">
        <v>31</v>
      </c>
      <c r="D397" s="2">
        <v>176</v>
      </c>
      <c r="E397" s="2">
        <v>8.5</v>
      </c>
      <c r="F397" s="2" t="s">
        <v>24</v>
      </c>
      <c r="G397" s="2">
        <v>2003</v>
      </c>
      <c r="H397" s="2" t="s">
        <v>13</v>
      </c>
      <c r="I397" s="3">
        <v>44172</v>
      </c>
    </row>
    <row r="398" spans="1:9" ht="15.75" customHeight="1" x14ac:dyDescent="0.25">
      <c r="A398" s="2" t="s">
        <v>815</v>
      </c>
      <c r="B398" s="2" t="s">
        <v>816</v>
      </c>
      <c r="C398" s="2" t="s">
        <v>46</v>
      </c>
      <c r="D398" s="2">
        <v>78</v>
      </c>
      <c r="E398" s="2">
        <v>8.3000000000000007</v>
      </c>
      <c r="F398" s="2" t="s">
        <v>17</v>
      </c>
      <c r="G398" s="2">
        <v>2006</v>
      </c>
      <c r="H398" s="2" t="s">
        <v>13</v>
      </c>
      <c r="I398" s="3">
        <v>44584</v>
      </c>
    </row>
    <row r="399" spans="1:9" ht="15.75" customHeight="1" x14ac:dyDescent="0.25">
      <c r="A399" s="2" t="s">
        <v>817</v>
      </c>
      <c r="B399" s="2" t="s">
        <v>818</v>
      </c>
      <c r="C399" s="2" t="s">
        <v>27</v>
      </c>
      <c r="D399" s="2">
        <v>119</v>
      </c>
      <c r="E399" s="2">
        <v>1.6</v>
      </c>
      <c r="F399" s="2" t="s">
        <v>21</v>
      </c>
      <c r="G399" s="2">
        <v>2024</v>
      </c>
      <c r="H399" s="2" t="s">
        <v>13</v>
      </c>
      <c r="I399" s="3">
        <v>44153</v>
      </c>
    </row>
    <row r="400" spans="1:9" ht="15.75" customHeight="1" x14ac:dyDescent="0.25">
      <c r="A400" s="2" t="s">
        <v>819</v>
      </c>
      <c r="B400" s="2" t="s">
        <v>820</v>
      </c>
      <c r="C400" s="2" t="s">
        <v>31</v>
      </c>
      <c r="D400" s="2">
        <v>127</v>
      </c>
      <c r="E400" s="2">
        <v>8.8000000000000007</v>
      </c>
      <c r="F400" s="2" t="s">
        <v>28</v>
      </c>
      <c r="G400" s="2">
        <v>2015</v>
      </c>
      <c r="H400" s="2" t="s">
        <v>13</v>
      </c>
      <c r="I400" s="3">
        <v>44353</v>
      </c>
    </row>
    <row r="401" spans="1:9" ht="15.75" customHeight="1" x14ac:dyDescent="0.25">
      <c r="A401" s="2" t="s">
        <v>821</v>
      </c>
      <c r="B401" s="2" t="s">
        <v>822</v>
      </c>
      <c r="C401" s="2" t="s">
        <v>27</v>
      </c>
      <c r="D401" s="2">
        <v>110</v>
      </c>
      <c r="E401" s="2">
        <v>1.4</v>
      </c>
      <c r="F401" s="2" t="s">
        <v>21</v>
      </c>
      <c r="G401" s="2">
        <v>2010</v>
      </c>
      <c r="H401" s="2" t="s">
        <v>13</v>
      </c>
      <c r="I401" s="3">
        <v>45414</v>
      </c>
    </row>
    <row r="402" spans="1:9" ht="15.75" customHeight="1" x14ac:dyDescent="0.25">
      <c r="A402" s="2" t="s">
        <v>823</v>
      </c>
      <c r="B402" s="2" t="s">
        <v>824</v>
      </c>
      <c r="C402" s="2" t="s">
        <v>16</v>
      </c>
      <c r="D402" s="2">
        <v>168</v>
      </c>
      <c r="E402" s="2">
        <v>1.2</v>
      </c>
      <c r="F402" s="2" t="s">
        <v>21</v>
      </c>
      <c r="G402" s="2">
        <v>2014</v>
      </c>
      <c r="H402" s="2" t="s">
        <v>18</v>
      </c>
      <c r="I402" s="3">
        <v>44041</v>
      </c>
    </row>
    <row r="403" spans="1:9" ht="15.75" customHeight="1" x14ac:dyDescent="0.25">
      <c r="A403" s="2" t="s">
        <v>825</v>
      </c>
      <c r="B403" s="2" t="s">
        <v>826</v>
      </c>
      <c r="C403" s="2" t="s">
        <v>31</v>
      </c>
      <c r="D403" s="2">
        <v>89</v>
      </c>
      <c r="E403" s="2">
        <v>9.3000000000000007</v>
      </c>
      <c r="F403" s="2" t="s">
        <v>21</v>
      </c>
      <c r="G403" s="2">
        <v>2022</v>
      </c>
      <c r="H403" s="2" t="s">
        <v>18</v>
      </c>
      <c r="I403" s="3">
        <v>45006</v>
      </c>
    </row>
    <row r="404" spans="1:9" ht="15.75" customHeight="1" x14ac:dyDescent="0.25">
      <c r="A404" s="2" t="s">
        <v>827</v>
      </c>
      <c r="B404" s="2" t="s">
        <v>828</v>
      </c>
      <c r="C404" s="2" t="s">
        <v>27</v>
      </c>
      <c r="D404" s="2">
        <v>199</v>
      </c>
      <c r="E404" s="2">
        <v>8.8000000000000007</v>
      </c>
      <c r="F404" s="2" t="s">
        <v>49</v>
      </c>
      <c r="G404" s="2">
        <v>1993</v>
      </c>
      <c r="H404" s="2" t="s">
        <v>18</v>
      </c>
      <c r="I404" s="3">
        <v>45211</v>
      </c>
    </row>
    <row r="405" spans="1:9" ht="15.75" customHeight="1" x14ac:dyDescent="0.25">
      <c r="A405" s="2" t="s">
        <v>829</v>
      </c>
      <c r="B405" s="2" t="s">
        <v>830</v>
      </c>
      <c r="C405" s="2" t="s">
        <v>27</v>
      </c>
      <c r="D405" s="2">
        <v>117</v>
      </c>
      <c r="E405" s="2">
        <v>6.2</v>
      </c>
      <c r="F405" s="2" t="s">
        <v>28</v>
      </c>
      <c r="G405" s="2">
        <v>1995</v>
      </c>
      <c r="H405" s="2" t="s">
        <v>13</v>
      </c>
      <c r="I405" s="3">
        <v>45311</v>
      </c>
    </row>
    <row r="406" spans="1:9" ht="15.75" customHeight="1" x14ac:dyDescent="0.25">
      <c r="A406" s="2" t="s">
        <v>831</v>
      </c>
      <c r="B406" s="2" t="s">
        <v>832</v>
      </c>
      <c r="C406" s="2" t="s">
        <v>31</v>
      </c>
      <c r="D406" s="2">
        <v>98</v>
      </c>
      <c r="E406" s="2">
        <v>6.2</v>
      </c>
      <c r="F406" s="2" t="s">
        <v>24</v>
      </c>
      <c r="G406" s="2">
        <v>2023</v>
      </c>
      <c r="H406" s="2" t="s">
        <v>18</v>
      </c>
      <c r="I406" s="3">
        <v>44067</v>
      </c>
    </row>
    <row r="407" spans="1:9" ht="15.75" customHeight="1" x14ac:dyDescent="0.25">
      <c r="A407" s="2" t="s">
        <v>833</v>
      </c>
      <c r="B407" s="2" t="s">
        <v>834</v>
      </c>
      <c r="C407" s="2" t="s">
        <v>54</v>
      </c>
      <c r="D407" s="2">
        <v>128</v>
      </c>
      <c r="E407" s="2">
        <v>7.4</v>
      </c>
      <c r="F407" s="2" t="s">
        <v>17</v>
      </c>
      <c r="G407" s="2">
        <v>2018</v>
      </c>
      <c r="H407" s="2" t="s">
        <v>13</v>
      </c>
      <c r="I407" s="3">
        <v>44298</v>
      </c>
    </row>
    <row r="408" spans="1:9" ht="15.75" customHeight="1" x14ac:dyDescent="0.25">
      <c r="A408" s="2" t="s">
        <v>835</v>
      </c>
      <c r="B408" s="2" t="s">
        <v>836</v>
      </c>
      <c r="C408" s="2" t="s">
        <v>46</v>
      </c>
      <c r="D408" s="2">
        <v>96</v>
      </c>
      <c r="E408" s="2">
        <v>4.8</v>
      </c>
      <c r="F408" s="2" t="s">
        <v>17</v>
      </c>
      <c r="G408" s="2">
        <v>1985</v>
      </c>
      <c r="H408" s="2" t="s">
        <v>13</v>
      </c>
      <c r="I408" s="3">
        <v>45348</v>
      </c>
    </row>
    <row r="409" spans="1:9" ht="15.75" customHeight="1" x14ac:dyDescent="0.25">
      <c r="A409" s="2" t="s">
        <v>837</v>
      </c>
      <c r="B409" s="2" t="s">
        <v>838</v>
      </c>
      <c r="C409" s="2" t="s">
        <v>11</v>
      </c>
      <c r="D409" s="2">
        <v>78</v>
      </c>
      <c r="E409" s="2">
        <v>2</v>
      </c>
      <c r="F409" s="2" t="s">
        <v>24</v>
      </c>
      <c r="G409" s="2">
        <v>2013</v>
      </c>
      <c r="H409" s="2" t="s">
        <v>18</v>
      </c>
      <c r="I409" s="3">
        <v>44873</v>
      </c>
    </row>
    <row r="410" spans="1:9" ht="15.75" customHeight="1" x14ac:dyDescent="0.25">
      <c r="A410" s="2" t="s">
        <v>839</v>
      </c>
      <c r="B410" s="2" t="s">
        <v>840</v>
      </c>
      <c r="C410" s="2" t="s">
        <v>27</v>
      </c>
      <c r="D410" s="2">
        <v>75</v>
      </c>
      <c r="E410" s="2">
        <v>1.2</v>
      </c>
      <c r="F410" s="2" t="s">
        <v>49</v>
      </c>
      <c r="G410" s="2">
        <v>2008</v>
      </c>
      <c r="H410" s="2" t="s">
        <v>18</v>
      </c>
      <c r="I410" s="3">
        <v>43836</v>
      </c>
    </row>
    <row r="411" spans="1:9" ht="15.75" customHeight="1" x14ac:dyDescent="0.25">
      <c r="A411" s="2" t="s">
        <v>841</v>
      </c>
      <c r="B411" s="2" t="s">
        <v>842</v>
      </c>
      <c r="C411" s="2" t="s">
        <v>46</v>
      </c>
      <c r="D411" s="2">
        <v>102</v>
      </c>
      <c r="E411" s="2">
        <v>3.9</v>
      </c>
      <c r="F411" s="2" t="s">
        <v>17</v>
      </c>
      <c r="G411" s="2">
        <v>2013</v>
      </c>
      <c r="H411" s="2" t="s">
        <v>13</v>
      </c>
      <c r="I411" s="3">
        <v>43921</v>
      </c>
    </row>
    <row r="412" spans="1:9" ht="15.75" customHeight="1" x14ac:dyDescent="0.25">
      <c r="A412" s="2" t="s">
        <v>843</v>
      </c>
      <c r="B412" s="2" t="s">
        <v>844</v>
      </c>
      <c r="C412" s="2" t="s">
        <v>11</v>
      </c>
      <c r="D412" s="2">
        <v>138</v>
      </c>
      <c r="E412" s="2">
        <v>8.1999999999999993</v>
      </c>
      <c r="F412" s="2" t="s">
        <v>21</v>
      </c>
      <c r="G412" s="2">
        <v>2025</v>
      </c>
      <c r="H412" s="2" t="s">
        <v>13</v>
      </c>
      <c r="I412" s="3">
        <v>43856</v>
      </c>
    </row>
    <row r="413" spans="1:9" ht="15.75" customHeight="1" x14ac:dyDescent="0.25">
      <c r="A413" s="2" t="s">
        <v>845</v>
      </c>
      <c r="B413" s="2" t="s">
        <v>846</v>
      </c>
      <c r="C413" s="2" t="s">
        <v>46</v>
      </c>
      <c r="D413" s="2">
        <v>133</v>
      </c>
      <c r="E413" s="2">
        <v>6.6</v>
      </c>
      <c r="F413" s="2" t="s">
        <v>17</v>
      </c>
      <c r="G413" s="2">
        <v>2003</v>
      </c>
      <c r="H413" s="2" t="s">
        <v>18</v>
      </c>
      <c r="I413" s="3">
        <v>44331</v>
      </c>
    </row>
    <row r="414" spans="1:9" ht="15.75" customHeight="1" x14ac:dyDescent="0.25">
      <c r="A414" s="2" t="s">
        <v>847</v>
      </c>
      <c r="B414" s="2" t="s">
        <v>848</v>
      </c>
      <c r="C414" s="2" t="s">
        <v>16</v>
      </c>
      <c r="D414" s="2">
        <v>172</v>
      </c>
      <c r="E414" s="2">
        <v>8.5</v>
      </c>
      <c r="F414" s="2" t="s">
        <v>28</v>
      </c>
      <c r="G414" s="2">
        <v>1984</v>
      </c>
      <c r="H414" s="2" t="s">
        <v>18</v>
      </c>
      <c r="I414" s="3">
        <v>43925</v>
      </c>
    </row>
    <row r="415" spans="1:9" ht="15.75" customHeight="1" x14ac:dyDescent="0.25">
      <c r="A415" s="2" t="s">
        <v>849</v>
      </c>
      <c r="B415" s="2" t="s">
        <v>850</v>
      </c>
      <c r="C415" s="2" t="s">
        <v>11</v>
      </c>
      <c r="D415" s="2">
        <v>91</v>
      </c>
      <c r="E415" s="2">
        <v>9.3000000000000007</v>
      </c>
      <c r="F415" s="2" t="s">
        <v>28</v>
      </c>
      <c r="G415" s="2">
        <v>2016</v>
      </c>
      <c r="H415" s="2" t="s">
        <v>18</v>
      </c>
      <c r="I415" s="3">
        <v>44797</v>
      </c>
    </row>
    <row r="416" spans="1:9" ht="15.75" customHeight="1" x14ac:dyDescent="0.25">
      <c r="A416" s="2" t="s">
        <v>851</v>
      </c>
      <c r="B416" s="2" t="s">
        <v>852</v>
      </c>
      <c r="C416" s="2" t="s">
        <v>46</v>
      </c>
      <c r="D416" s="2">
        <v>179</v>
      </c>
      <c r="E416" s="2">
        <v>1.8</v>
      </c>
      <c r="F416" s="2" t="s">
        <v>24</v>
      </c>
      <c r="G416" s="2">
        <v>1987</v>
      </c>
      <c r="H416" s="2" t="s">
        <v>13</v>
      </c>
      <c r="I416" s="3">
        <v>44576</v>
      </c>
    </row>
    <row r="417" spans="1:9" ht="15.75" customHeight="1" x14ac:dyDescent="0.25">
      <c r="A417" s="2" t="s">
        <v>853</v>
      </c>
      <c r="B417" s="2" t="s">
        <v>854</v>
      </c>
      <c r="C417" s="2" t="s">
        <v>27</v>
      </c>
      <c r="D417" s="2">
        <v>137</v>
      </c>
      <c r="E417" s="2">
        <v>8.6</v>
      </c>
      <c r="F417" s="2" t="s">
        <v>49</v>
      </c>
      <c r="G417" s="2">
        <v>1983</v>
      </c>
      <c r="H417" s="2" t="s">
        <v>13</v>
      </c>
      <c r="I417" s="3">
        <v>44615</v>
      </c>
    </row>
    <row r="418" spans="1:9" ht="15.75" customHeight="1" x14ac:dyDescent="0.25">
      <c r="A418" s="2" t="s">
        <v>855</v>
      </c>
      <c r="B418" s="2" t="s">
        <v>856</v>
      </c>
      <c r="C418" s="2" t="s">
        <v>11</v>
      </c>
      <c r="D418" s="2">
        <v>163</v>
      </c>
      <c r="E418" s="2">
        <v>3.2</v>
      </c>
      <c r="F418" s="2" t="s">
        <v>12</v>
      </c>
      <c r="G418" s="2">
        <v>2015</v>
      </c>
      <c r="H418" s="2" t="s">
        <v>13</v>
      </c>
      <c r="I418" s="3">
        <v>44138</v>
      </c>
    </row>
    <row r="419" spans="1:9" ht="15.75" customHeight="1" x14ac:dyDescent="0.25">
      <c r="A419" s="2" t="s">
        <v>857</v>
      </c>
      <c r="B419" s="2" t="s">
        <v>858</v>
      </c>
      <c r="C419" s="2" t="s">
        <v>16</v>
      </c>
      <c r="D419" s="2">
        <v>129</v>
      </c>
      <c r="E419" s="2">
        <v>6.3</v>
      </c>
      <c r="F419" s="2" t="s">
        <v>12</v>
      </c>
      <c r="G419" s="2">
        <v>2012</v>
      </c>
      <c r="H419" s="2" t="s">
        <v>18</v>
      </c>
      <c r="I419" s="3">
        <v>44197</v>
      </c>
    </row>
    <row r="420" spans="1:9" ht="15.75" customHeight="1" x14ac:dyDescent="0.25">
      <c r="A420" s="2" t="s">
        <v>859</v>
      </c>
      <c r="B420" s="2" t="s">
        <v>860</v>
      </c>
      <c r="C420" s="2" t="s">
        <v>31</v>
      </c>
      <c r="D420" s="2">
        <v>188</v>
      </c>
      <c r="E420" s="2">
        <v>5.7</v>
      </c>
      <c r="F420" s="2" t="s">
        <v>49</v>
      </c>
      <c r="G420" s="2">
        <v>1992</v>
      </c>
      <c r="H420" s="2" t="s">
        <v>13</v>
      </c>
      <c r="I420" s="3">
        <v>43903</v>
      </c>
    </row>
    <row r="421" spans="1:9" ht="15.75" customHeight="1" x14ac:dyDescent="0.25">
      <c r="A421" s="2" t="s">
        <v>861</v>
      </c>
      <c r="B421" s="2" t="s">
        <v>862</v>
      </c>
      <c r="C421" s="2" t="s">
        <v>27</v>
      </c>
      <c r="D421" s="2">
        <v>198</v>
      </c>
      <c r="E421" s="2">
        <v>4.5999999999999996</v>
      </c>
      <c r="F421" s="2" t="s">
        <v>17</v>
      </c>
      <c r="G421" s="2">
        <v>2016</v>
      </c>
      <c r="H421" s="2" t="s">
        <v>13</v>
      </c>
      <c r="I421" s="3">
        <v>44963</v>
      </c>
    </row>
    <row r="422" spans="1:9" ht="15.75" customHeight="1" x14ac:dyDescent="0.25">
      <c r="A422" s="2" t="s">
        <v>863</v>
      </c>
      <c r="B422" s="2" t="s">
        <v>864</v>
      </c>
      <c r="C422" s="2" t="s">
        <v>16</v>
      </c>
      <c r="D422" s="2">
        <v>186</v>
      </c>
      <c r="E422" s="2">
        <v>3.8</v>
      </c>
      <c r="F422" s="2" t="s">
        <v>49</v>
      </c>
      <c r="G422" s="2">
        <v>2014</v>
      </c>
      <c r="H422" s="2" t="s">
        <v>13</v>
      </c>
      <c r="I422" s="3">
        <v>45475</v>
      </c>
    </row>
    <row r="423" spans="1:9" ht="15.75" customHeight="1" x14ac:dyDescent="0.25">
      <c r="A423" s="2" t="s">
        <v>865</v>
      </c>
      <c r="B423" s="2" t="s">
        <v>866</v>
      </c>
      <c r="C423" s="2" t="s">
        <v>16</v>
      </c>
      <c r="D423" s="2">
        <v>172</v>
      </c>
      <c r="E423" s="2">
        <v>4.0999999999999996</v>
      </c>
      <c r="F423" s="2" t="s">
        <v>49</v>
      </c>
      <c r="G423" s="2">
        <v>1989</v>
      </c>
      <c r="H423" s="2" t="s">
        <v>18</v>
      </c>
      <c r="I423" s="3">
        <v>45293</v>
      </c>
    </row>
    <row r="424" spans="1:9" ht="15.75" customHeight="1" x14ac:dyDescent="0.25">
      <c r="A424" s="2" t="s">
        <v>867</v>
      </c>
      <c r="B424" s="2" t="s">
        <v>868</v>
      </c>
      <c r="C424" s="2" t="s">
        <v>11</v>
      </c>
      <c r="D424" s="2">
        <v>80</v>
      </c>
      <c r="E424" s="2">
        <v>4</v>
      </c>
      <c r="F424" s="2" t="s">
        <v>17</v>
      </c>
      <c r="G424" s="2">
        <v>1990</v>
      </c>
      <c r="H424" s="2" t="s">
        <v>18</v>
      </c>
      <c r="I424" s="3">
        <v>45347</v>
      </c>
    </row>
    <row r="425" spans="1:9" ht="15.75" customHeight="1" x14ac:dyDescent="0.25">
      <c r="A425" s="2" t="s">
        <v>869</v>
      </c>
      <c r="B425" s="2" t="s">
        <v>870</v>
      </c>
      <c r="C425" s="2" t="s">
        <v>46</v>
      </c>
      <c r="D425" s="2">
        <v>70</v>
      </c>
      <c r="E425" s="2">
        <v>2.5</v>
      </c>
      <c r="F425" s="2" t="s">
        <v>28</v>
      </c>
      <c r="G425" s="2">
        <v>2000</v>
      </c>
      <c r="H425" s="2" t="s">
        <v>13</v>
      </c>
      <c r="I425" s="3">
        <v>45173</v>
      </c>
    </row>
    <row r="426" spans="1:9" ht="15.75" customHeight="1" x14ac:dyDescent="0.25">
      <c r="A426" s="2" t="s">
        <v>871</v>
      </c>
      <c r="B426" s="2" t="s">
        <v>872</v>
      </c>
      <c r="C426" s="2" t="s">
        <v>31</v>
      </c>
      <c r="D426" s="2">
        <v>170</v>
      </c>
      <c r="E426" s="2">
        <v>5.6</v>
      </c>
      <c r="F426" s="2" t="s">
        <v>21</v>
      </c>
      <c r="G426" s="2">
        <v>2013</v>
      </c>
      <c r="H426" s="2" t="s">
        <v>18</v>
      </c>
      <c r="I426" s="3">
        <v>44689</v>
      </c>
    </row>
    <row r="427" spans="1:9" ht="15.75" customHeight="1" x14ac:dyDescent="0.25">
      <c r="A427" s="2" t="s">
        <v>873</v>
      </c>
      <c r="B427" s="2" t="s">
        <v>874</v>
      </c>
      <c r="C427" s="2" t="s">
        <v>27</v>
      </c>
      <c r="D427" s="2">
        <v>142</v>
      </c>
      <c r="E427" s="2">
        <v>2</v>
      </c>
      <c r="F427" s="2" t="s">
        <v>24</v>
      </c>
      <c r="G427" s="2">
        <v>2008</v>
      </c>
      <c r="H427" s="2" t="s">
        <v>13</v>
      </c>
      <c r="I427" s="3">
        <v>44290</v>
      </c>
    </row>
    <row r="428" spans="1:9" ht="15.75" customHeight="1" x14ac:dyDescent="0.25">
      <c r="A428" s="2" t="s">
        <v>875</v>
      </c>
      <c r="B428" s="2" t="s">
        <v>876</v>
      </c>
      <c r="C428" s="2" t="s">
        <v>27</v>
      </c>
      <c r="D428" s="2">
        <v>124</v>
      </c>
      <c r="E428" s="2">
        <v>5.6</v>
      </c>
      <c r="F428" s="2" t="s">
        <v>12</v>
      </c>
      <c r="G428" s="2">
        <v>1987</v>
      </c>
      <c r="H428" s="2" t="s">
        <v>18</v>
      </c>
      <c r="I428" s="3">
        <v>44490</v>
      </c>
    </row>
    <row r="429" spans="1:9" ht="15.75" customHeight="1" x14ac:dyDescent="0.25">
      <c r="A429" s="2" t="s">
        <v>877</v>
      </c>
      <c r="B429" s="2" t="s">
        <v>878</v>
      </c>
      <c r="C429" s="2" t="s">
        <v>46</v>
      </c>
      <c r="D429" s="2">
        <v>66</v>
      </c>
      <c r="E429" s="2">
        <v>9.1999999999999993</v>
      </c>
      <c r="F429" s="2" t="s">
        <v>28</v>
      </c>
      <c r="G429" s="2">
        <v>2023</v>
      </c>
      <c r="H429" s="2" t="s">
        <v>18</v>
      </c>
      <c r="I429" s="3">
        <v>44339</v>
      </c>
    </row>
    <row r="430" spans="1:9" ht="15.75" customHeight="1" x14ac:dyDescent="0.25">
      <c r="A430" s="2" t="s">
        <v>879</v>
      </c>
      <c r="B430" s="2" t="s">
        <v>880</v>
      </c>
      <c r="C430" s="2" t="s">
        <v>31</v>
      </c>
      <c r="D430" s="2">
        <v>83</v>
      </c>
      <c r="E430" s="2">
        <v>4.0999999999999996</v>
      </c>
      <c r="F430" s="2" t="s">
        <v>49</v>
      </c>
      <c r="G430" s="2">
        <v>1993</v>
      </c>
      <c r="H430" s="2" t="s">
        <v>18</v>
      </c>
      <c r="I430" s="3">
        <v>44683</v>
      </c>
    </row>
    <row r="431" spans="1:9" ht="15.75" customHeight="1" x14ac:dyDescent="0.25">
      <c r="A431" s="2" t="s">
        <v>881</v>
      </c>
      <c r="B431" s="2" t="s">
        <v>882</v>
      </c>
      <c r="C431" s="2" t="s">
        <v>11</v>
      </c>
      <c r="D431" s="2">
        <v>118</v>
      </c>
      <c r="E431" s="2">
        <v>7.5</v>
      </c>
      <c r="F431" s="2" t="s">
        <v>49</v>
      </c>
      <c r="G431" s="2">
        <v>2025</v>
      </c>
      <c r="H431" s="2" t="s">
        <v>18</v>
      </c>
      <c r="I431" s="3">
        <v>45306</v>
      </c>
    </row>
    <row r="432" spans="1:9" ht="15.75" customHeight="1" x14ac:dyDescent="0.25">
      <c r="A432" s="2" t="s">
        <v>883</v>
      </c>
      <c r="B432" s="2" t="s">
        <v>884</v>
      </c>
      <c r="C432" s="2" t="s">
        <v>27</v>
      </c>
      <c r="D432" s="2">
        <v>65</v>
      </c>
      <c r="E432" s="2">
        <v>8.4</v>
      </c>
      <c r="F432" s="2" t="s">
        <v>12</v>
      </c>
      <c r="G432" s="2">
        <v>2017</v>
      </c>
      <c r="H432" s="2" t="s">
        <v>18</v>
      </c>
      <c r="I432" s="3">
        <v>44486</v>
      </c>
    </row>
    <row r="433" spans="1:9" ht="15.75" customHeight="1" x14ac:dyDescent="0.25">
      <c r="A433" s="2" t="s">
        <v>885</v>
      </c>
      <c r="B433" s="2" t="s">
        <v>886</v>
      </c>
      <c r="C433" s="2" t="s">
        <v>31</v>
      </c>
      <c r="D433" s="2">
        <v>128</v>
      </c>
      <c r="E433" s="2">
        <v>8.3000000000000007</v>
      </c>
      <c r="F433" s="2" t="s">
        <v>17</v>
      </c>
      <c r="G433" s="2">
        <v>2011</v>
      </c>
      <c r="H433" s="2" t="s">
        <v>13</v>
      </c>
      <c r="I433" s="3">
        <v>44386</v>
      </c>
    </row>
    <row r="434" spans="1:9" ht="15.75" customHeight="1" x14ac:dyDescent="0.25">
      <c r="A434" s="2" t="s">
        <v>887</v>
      </c>
      <c r="B434" s="2" t="s">
        <v>888</v>
      </c>
      <c r="C434" s="2" t="s">
        <v>11</v>
      </c>
      <c r="D434" s="2">
        <v>70</v>
      </c>
      <c r="E434" s="2">
        <v>3.1</v>
      </c>
      <c r="F434" s="2" t="s">
        <v>24</v>
      </c>
      <c r="G434" s="2">
        <v>1985</v>
      </c>
      <c r="H434" s="2" t="s">
        <v>18</v>
      </c>
      <c r="I434" s="3">
        <v>45522</v>
      </c>
    </row>
    <row r="435" spans="1:9" ht="15.75" customHeight="1" x14ac:dyDescent="0.25">
      <c r="A435" s="2" t="s">
        <v>889</v>
      </c>
      <c r="B435" s="2" t="s">
        <v>890</v>
      </c>
      <c r="C435" s="2" t="s">
        <v>11</v>
      </c>
      <c r="D435" s="2">
        <v>104</v>
      </c>
      <c r="E435" s="2">
        <v>2.2999999999999998</v>
      </c>
      <c r="F435" s="2" t="s">
        <v>21</v>
      </c>
      <c r="G435" s="2">
        <v>2012</v>
      </c>
      <c r="H435" s="2" t="s">
        <v>18</v>
      </c>
      <c r="I435" s="3">
        <v>43990</v>
      </c>
    </row>
    <row r="436" spans="1:9" ht="15.75" customHeight="1" x14ac:dyDescent="0.25">
      <c r="A436" s="2" t="s">
        <v>891</v>
      </c>
      <c r="B436" s="2" t="s">
        <v>892</v>
      </c>
      <c r="C436" s="2" t="s">
        <v>27</v>
      </c>
      <c r="D436" s="2">
        <v>180</v>
      </c>
      <c r="E436" s="2">
        <v>2.8</v>
      </c>
      <c r="F436" s="2" t="s">
        <v>17</v>
      </c>
      <c r="G436" s="2">
        <v>2008</v>
      </c>
      <c r="H436" s="2" t="s">
        <v>18</v>
      </c>
      <c r="I436" s="3">
        <v>45001</v>
      </c>
    </row>
    <row r="437" spans="1:9" ht="15.75" customHeight="1" x14ac:dyDescent="0.25">
      <c r="A437" s="2" t="s">
        <v>893</v>
      </c>
      <c r="B437" s="2" t="s">
        <v>894</v>
      </c>
      <c r="C437" s="2" t="s">
        <v>46</v>
      </c>
      <c r="D437" s="2">
        <v>192</v>
      </c>
      <c r="E437" s="2">
        <v>6.4</v>
      </c>
      <c r="F437" s="2" t="s">
        <v>12</v>
      </c>
      <c r="G437" s="2">
        <v>1983</v>
      </c>
      <c r="H437" s="2" t="s">
        <v>13</v>
      </c>
      <c r="I437" s="3">
        <v>44594</v>
      </c>
    </row>
    <row r="438" spans="1:9" ht="15.75" customHeight="1" x14ac:dyDescent="0.25">
      <c r="A438" s="2" t="s">
        <v>895</v>
      </c>
      <c r="B438" s="2" t="s">
        <v>896</v>
      </c>
      <c r="C438" s="2" t="s">
        <v>54</v>
      </c>
      <c r="D438" s="2">
        <v>173</v>
      </c>
      <c r="E438" s="2">
        <v>7.8</v>
      </c>
      <c r="F438" s="2" t="s">
        <v>17</v>
      </c>
      <c r="G438" s="2">
        <v>2009</v>
      </c>
      <c r="H438" s="2" t="s">
        <v>18</v>
      </c>
      <c r="I438" s="3">
        <v>44075</v>
      </c>
    </row>
    <row r="439" spans="1:9" ht="15.75" customHeight="1" x14ac:dyDescent="0.25">
      <c r="A439" s="2" t="s">
        <v>897</v>
      </c>
      <c r="B439" s="2" t="s">
        <v>898</v>
      </c>
      <c r="C439" s="2" t="s">
        <v>27</v>
      </c>
      <c r="D439" s="2">
        <v>131</v>
      </c>
      <c r="E439" s="2">
        <v>6.9</v>
      </c>
      <c r="F439" s="2" t="s">
        <v>21</v>
      </c>
      <c r="G439" s="2">
        <v>1988</v>
      </c>
      <c r="H439" s="2" t="s">
        <v>13</v>
      </c>
      <c r="I439" s="3">
        <v>44859</v>
      </c>
    </row>
    <row r="440" spans="1:9" ht="15.75" customHeight="1" x14ac:dyDescent="0.25">
      <c r="A440" s="2" t="s">
        <v>899</v>
      </c>
      <c r="B440" s="2" t="s">
        <v>900</v>
      </c>
      <c r="C440" s="2" t="s">
        <v>16</v>
      </c>
      <c r="D440" s="2">
        <v>106</v>
      </c>
      <c r="E440" s="2">
        <v>2.6</v>
      </c>
      <c r="F440" s="2" t="s">
        <v>21</v>
      </c>
      <c r="G440" s="2">
        <v>2012</v>
      </c>
      <c r="H440" s="2" t="s">
        <v>13</v>
      </c>
      <c r="I440" s="3">
        <v>45209</v>
      </c>
    </row>
    <row r="441" spans="1:9" ht="15.75" customHeight="1" x14ac:dyDescent="0.25">
      <c r="A441" s="2" t="s">
        <v>901</v>
      </c>
      <c r="B441" s="2" t="s">
        <v>902</v>
      </c>
      <c r="C441" s="2" t="s">
        <v>16</v>
      </c>
      <c r="D441" s="2">
        <v>171</v>
      </c>
      <c r="E441" s="2">
        <v>8</v>
      </c>
      <c r="F441" s="2" t="s">
        <v>49</v>
      </c>
      <c r="G441" s="2">
        <v>2006</v>
      </c>
      <c r="H441" s="2" t="s">
        <v>18</v>
      </c>
      <c r="I441" s="3">
        <v>43938</v>
      </c>
    </row>
    <row r="442" spans="1:9" ht="15.75" customHeight="1" x14ac:dyDescent="0.25">
      <c r="A442" s="2" t="s">
        <v>903</v>
      </c>
      <c r="B442" s="2" t="s">
        <v>904</v>
      </c>
      <c r="C442" s="2" t="s">
        <v>11</v>
      </c>
      <c r="D442" s="2">
        <v>185</v>
      </c>
      <c r="E442" s="2">
        <v>5.4</v>
      </c>
      <c r="F442" s="2" t="s">
        <v>17</v>
      </c>
      <c r="G442" s="2">
        <v>2009</v>
      </c>
      <c r="H442" s="2" t="s">
        <v>13</v>
      </c>
      <c r="I442" s="3">
        <v>44198</v>
      </c>
    </row>
    <row r="443" spans="1:9" ht="15.75" customHeight="1" x14ac:dyDescent="0.25">
      <c r="A443" s="2" t="s">
        <v>905</v>
      </c>
      <c r="B443" s="2" t="s">
        <v>906</v>
      </c>
      <c r="C443" s="2" t="s">
        <v>54</v>
      </c>
      <c r="D443" s="2">
        <v>83</v>
      </c>
      <c r="E443" s="2">
        <v>7.8</v>
      </c>
      <c r="F443" s="2" t="s">
        <v>28</v>
      </c>
      <c r="G443" s="2">
        <v>2016</v>
      </c>
      <c r="H443" s="2" t="s">
        <v>13</v>
      </c>
      <c r="I443" s="3">
        <v>44288</v>
      </c>
    </row>
    <row r="444" spans="1:9" ht="15.75" customHeight="1" x14ac:dyDescent="0.25">
      <c r="A444" s="2" t="s">
        <v>907</v>
      </c>
      <c r="B444" s="2" t="s">
        <v>908</v>
      </c>
      <c r="C444" s="2" t="s">
        <v>27</v>
      </c>
      <c r="D444" s="2">
        <v>180</v>
      </c>
      <c r="E444" s="2">
        <v>7.8</v>
      </c>
      <c r="F444" s="2" t="s">
        <v>28</v>
      </c>
      <c r="G444" s="2">
        <v>1983</v>
      </c>
      <c r="H444" s="2" t="s">
        <v>18</v>
      </c>
      <c r="I444" s="3">
        <v>45478</v>
      </c>
    </row>
    <row r="445" spans="1:9" ht="15.75" customHeight="1" x14ac:dyDescent="0.25">
      <c r="A445" s="2" t="s">
        <v>909</v>
      </c>
      <c r="B445" s="2" t="s">
        <v>910</v>
      </c>
      <c r="C445" s="2" t="s">
        <v>16</v>
      </c>
      <c r="D445" s="2">
        <v>149</v>
      </c>
      <c r="E445" s="2">
        <v>5</v>
      </c>
      <c r="F445" s="2" t="s">
        <v>17</v>
      </c>
      <c r="G445" s="2">
        <v>2015</v>
      </c>
      <c r="H445" s="2" t="s">
        <v>13</v>
      </c>
      <c r="I445" s="3">
        <v>44887</v>
      </c>
    </row>
    <row r="446" spans="1:9" ht="15.75" customHeight="1" x14ac:dyDescent="0.25">
      <c r="A446" s="2" t="s">
        <v>911</v>
      </c>
      <c r="B446" s="2" t="s">
        <v>912</v>
      </c>
      <c r="C446" s="2" t="s">
        <v>16</v>
      </c>
      <c r="D446" s="2">
        <v>164</v>
      </c>
      <c r="E446" s="2">
        <v>9.3000000000000007</v>
      </c>
      <c r="F446" s="2" t="s">
        <v>21</v>
      </c>
      <c r="G446" s="2">
        <v>2009</v>
      </c>
      <c r="H446" s="2" t="s">
        <v>13</v>
      </c>
      <c r="I446" s="3">
        <v>43925</v>
      </c>
    </row>
    <row r="447" spans="1:9" ht="15.75" customHeight="1" x14ac:dyDescent="0.25">
      <c r="A447" s="2" t="s">
        <v>913</v>
      </c>
      <c r="B447" s="2" t="s">
        <v>914</v>
      </c>
      <c r="C447" s="2" t="s">
        <v>27</v>
      </c>
      <c r="D447" s="2">
        <v>145</v>
      </c>
      <c r="E447" s="2">
        <v>6.1</v>
      </c>
      <c r="F447" s="2" t="s">
        <v>24</v>
      </c>
      <c r="G447" s="2">
        <v>2023</v>
      </c>
      <c r="H447" s="2" t="s">
        <v>18</v>
      </c>
      <c r="I447" s="3">
        <v>44652</v>
      </c>
    </row>
    <row r="448" spans="1:9" ht="15.75" customHeight="1" x14ac:dyDescent="0.25">
      <c r="A448" s="2" t="s">
        <v>915</v>
      </c>
      <c r="B448" s="2" t="s">
        <v>916</v>
      </c>
      <c r="C448" s="2" t="s">
        <v>31</v>
      </c>
      <c r="D448" s="2">
        <v>142</v>
      </c>
      <c r="E448" s="2">
        <v>6.7</v>
      </c>
      <c r="F448" s="2" t="s">
        <v>21</v>
      </c>
      <c r="G448" s="2">
        <v>1999</v>
      </c>
      <c r="H448" s="2" t="s">
        <v>13</v>
      </c>
      <c r="I448" s="3">
        <v>43972</v>
      </c>
    </row>
    <row r="449" spans="1:9" ht="15.75" customHeight="1" x14ac:dyDescent="0.25">
      <c r="A449" s="2" t="s">
        <v>917</v>
      </c>
      <c r="B449" s="2" t="s">
        <v>918</v>
      </c>
      <c r="C449" s="2" t="s">
        <v>11</v>
      </c>
      <c r="D449" s="2">
        <v>86</v>
      </c>
      <c r="E449" s="2">
        <v>6.6</v>
      </c>
      <c r="F449" s="2" t="s">
        <v>21</v>
      </c>
      <c r="G449" s="2">
        <v>1981</v>
      </c>
      <c r="H449" s="2" t="s">
        <v>18</v>
      </c>
      <c r="I449" s="3">
        <v>44783</v>
      </c>
    </row>
    <row r="450" spans="1:9" ht="15.75" customHeight="1" x14ac:dyDescent="0.25">
      <c r="A450" s="2" t="s">
        <v>919</v>
      </c>
      <c r="B450" s="2" t="s">
        <v>920</v>
      </c>
      <c r="C450" s="2" t="s">
        <v>27</v>
      </c>
      <c r="D450" s="2">
        <v>101</v>
      </c>
      <c r="E450" s="2">
        <v>8.8000000000000007</v>
      </c>
      <c r="F450" s="2" t="s">
        <v>24</v>
      </c>
      <c r="G450" s="2">
        <v>2005</v>
      </c>
      <c r="H450" s="2" t="s">
        <v>18</v>
      </c>
      <c r="I450" s="3">
        <v>44409</v>
      </c>
    </row>
    <row r="451" spans="1:9" ht="15.75" customHeight="1" x14ac:dyDescent="0.25">
      <c r="A451" s="2" t="s">
        <v>921</v>
      </c>
      <c r="B451" s="2" t="s">
        <v>922</v>
      </c>
      <c r="C451" s="2" t="s">
        <v>31</v>
      </c>
      <c r="D451" s="2">
        <v>144</v>
      </c>
      <c r="E451" s="2">
        <v>6.6</v>
      </c>
      <c r="F451" s="2" t="s">
        <v>12</v>
      </c>
      <c r="G451" s="2">
        <v>1996</v>
      </c>
      <c r="H451" s="2" t="s">
        <v>13</v>
      </c>
      <c r="I451" s="3">
        <v>45415</v>
      </c>
    </row>
    <row r="452" spans="1:9" ht="15.75" customHeight="1" x14ac:dyDescent="0.25">
      <c r="A452" s="2" t="s">
        <v>923</v>
      </c>
      <c r="B452" s="2" t="s">
        <v>924</v>
      </c>
      <c r="C452" s="2" t="s">
        <v>11</v>
      </c>
      <c r="D452" s="2">
        <v>165</v>
      </c>
      <c r="E452" s="2">
        <v>2.4</v>
      </c>
      <c r="F452" s="2" t="s">
        <v>21</v>
      </c>
      <c r="G452" s="2">
        <v>1980</v>
      </c>
      <c r="H452" s="2" t="s">
        <v>18</v>
      </c>
      <c r="I452" s="3">
        <v>44467</v>
      </c>
    </row>
    <row r="453" spans="1:9" ht="15.75" customHeight="1" x14ac:dyDescent="0.25">
      <c r="A453" s="2" t="s">
        <v>925</v>
      </c>
      <c r="B453" s="2" t="s">
        <v>926</v>
      </c>
      <c r="C453" s="2" t="s">
        <v>54</v>
      </c>
      <c r="D453" s="2">
        <v>186</v>
      </c>
      <c r="E453" s="2">
        <v>1.6</v>
      </c>
      <c r="F453" s="2" t="s">
        <v>24</v>
      </c>
      <c r="G453" s="2">
        <v>1993</v>
      </c>
      <c r="H453" s="2" t="s">
        <v>18</v>
      </c>
      <c r="I453" s="3">
        <v>44501</v>
      </c>
    </row>
    <row r="454" spans="1:9" ht="15.75" customHeight="1" x14ac:dyDescent="0.25">
      <c r="A454" s="2" t="s">
        <v>927</v>
      </c>
      <c r="B454" s="2" t="s">
        <v>928</v>
      </c>
      <c r="C454" s="2" t="s">
        <v>46</v>
      </c>
      <c r="D454" s="2">
        <v>133</v>
      </c>
      <c r="E454" s="2">
        <v>5</v>
      </c>
      <c r="F454" s="2" t="s">
        <v>17</v>
      </c>
      <c r="G454" s="2">
        <v>2017</v>
      </c>
      <c r="H454" s="2" t="s">
        <v>13</v>
      </c>
      <c r="I454" s="3">
        <v>44007</v>
      </c>
    </row>
    <row r="455" spans="1:9" ht="15.75" customHeight="1" x14ac:dyDescent="0.25">
      <c r="A455" s="2" t="s">
        <v>929</v>
      </c>
      <c r="B455" s="2" t="s">
        <v>930</v>
      </c>
      <c r="C455" s="2" t="s">
        <v>11</v>
      </c>
      <c r="D455" s="2">
        <v>162</v>
      </c>
      <c r="E455" s="2">
        <v>3.7</v>
      </c>
      <c r="F455" s="2" t="s">
        <v>24</v>
      </c>
      <c r="G455" s="2">
        <v>1984</v>
      </c>
      <c r="H455" s="2" t="s">
        <v>18</v>
      </c>
      <c r="I455" s="3">
        <v>44963</v>
      </c>
    </row>
    <row r="456" spans="1:9" ht="15.75" customHeight="1" x14ac:dyDescent="0.25">
      <c r="A456" s="2" t="s">
        <v>931</v>
      </c>
      <c r="B456" s="2" t="s">
        <v>932</v>
      </c>
      <c r="C456" s="2" t="s">
        <v>54</v>
      </c>
      <c r="D456" s="2">
        <v>200</v>
      </c>
      <c r="E456" s="2">
        <v>3.5</v>
      </c>
      <c r="F456" s="2" t="s">
        <v>28</v>
      </c>
      <c r="G456" s="2">
        <v>1982</v>
      </c>
      <c r="H456" s="2" t="s">
        <v>13</v>
      </c>
      <c r="I456" s="3">
        <v>44766</v>
      </c>
    </row>
    <row r="457" spans="1:9" ht="15.75" customHeight="1" x14ac:dyDescent="0.25">
      <c r="A457" s="2" t="s">
        <v>933</v>
      </c>
      <c r="B457" s="2" t="s">
        <v>934</v>
      </c>
      <c r="C457" s="2" t="s">
        <v>46</v>
      </c>
      <c r="D457" s="2">
        <v>69</v>
      </c>
      <c r="E457" s="2">
        <v>1.5</v>
      </c>
      <c r="F457" s="2" t="s">
        <v>24</v>
      </c>
      <c r="G457" s="2">
        <v>2007</v>
      </c>
      <c r="H457" s="2" t="s">
        <v>13</v>
      </c>
      <c r="I457" s="3">
        <v>43847</v>
      </c>
    </row>
    <row r="458" spans="1:9" ht="15.75" customHeight="1" x14ac:dyDescent="0.25">
      <c r="A458" s="2" t="s">
        <v>935</v>
      </c>
      <c r="B458" s="2" t="s">
        <v>936</v>
      </c>
      <c r="C458" s="2" t="s">
        <v>16</v>
      </c>
      <c r="D458" s="2">
        <v>176</v>
      </c>
      <c r="E458" s="2">
        <v>5.6</v>
      </c>
      <c r="F458" s="2" t="s">
        <v>21</v>
      </c>
      <c r="G458" s="2">
        <v>2002</v>
      </c>
      <c r="H458" s="2" t="s">
        <v>18</v>
      </c>
      <c r="I458" s="3">
        <v>44586</v>
      </c>
    </row>
    <row r="459" spans="1:9" ht="15.75" customHeight="1" x14ac:dyDescent="0.25">
      <c r="A459" s="2" t="s">
        <v>937</v>
      </c>
      <c r="B459" s="2" t="s">
        <v>938</v>
      </c>
      <c r="C459" s="2" t="s">
        <v>16</v>
      </c>
      <c r="D459" s="2">
        <v>82</v>
      </c>
      <c r="E459" s="2">
        <v>3.8</v>
      </c>
      <c r="F459" s="2" t="s">
        <v>12</v>
      </c>
      <c r="G459" s="2">
        <v>2024</v>
      </c>
      <c r="H459" s="2" t="s">
        <v>18</v>
      </c>
      <c r="I459" s="3">
        <v>44241</v>
      </c>
    </row>
    <row r="460" spans="1:9" ht="15.75" customHeight="1" x14ac:dyDescent="0.25">
      <c r="A460" s="2" t="s">
        <v>939</v>
      </c>
      <c r="B460" s="2" t="s">
        <v>940</v>
      </c>
      <c r="C460" s="2" t="s">
        <v>16</v>
      </c>
      <c r="D460" s="2">
        <v>140</v>
      </c>
      <c r="E460" s="2">
        <v>5.0999999999999996</v>
      </c>
      <c r="F460" s="2" t="s">
        <v>17</v>
      </c>
      <c r="G460" s="2">
        <v>1984</v>
      </c>
      <c r="H460" s="2" t="s">
        <v>13</v>
      </c>
      <c r="I460" s="3">
        <v>44428</v>
      </c>
    </row>
    <row r="461" spans="1:9" ht="15.75" customHeight="1" x14ac:dyDescent="0.25">
      <c r="A461" s="2" t="s">
        <v>941</v>
      </c>
      <c r="B461" s="2" t="s">
        <v>942</v>
      </c>
      <c r="C461" s="2" t="s">
        <v>11</v>
      </c>
      <c r="D461" s="2">
        <v>124</v>
      </c>
      <c r="E461" s="2">
        <v>1.5</v>
      </c>
      <c r="F461" s="2" t="s">
        <v>24</v>
      </c>
      <c r="G461" s="2">
        <v>2014</v>
      </c>
      <c r="H461" s="2" t="s">
        <v>13</v>
      </c>
      <c r="I461" s="3">
        <v>44985</v>
      </c>
    </row>
    <row r="462" spans="1:9" ht="15.75" customHeight="1" x14ac:dyDescent="0.25">
      <c r="A462" s="2" t="s">
        <v>943</v>
      </c>
      <c r="B462" s="2" t="s">
        <v>944</v>
      </c>
      <c r="C462" s="2" t="s">
        <v>31</v>
      </c>
      <c r="D462" s="2">
        <v>142</v>
      </c>
      <c r="E462" s="2">
        <v>8.5</v>
      </c>
      <c r="F462" s="2" t="s">
        <v>21</v>
      </c>
      <c r="G462" s="2">
        <v>1983</v>
      </c>
      <c r="H462" s="2" t="s">
        <v>18</v>
      </c>
      <c r="I462" s="3">
        <v>45437</v>
      </c>
    </row>
    <row r="463" spans="1:9" ht="15.75" customHeight="1" x14ac:dyDescent="0.25">
      <c r="A463" s="2" t="s">
        <v>945</v>
      </c>
      <c r="B463" s="2" t="s">
        <v>946</v>
      </c>
      <c r="C463" s="2" t="s">
        <v>46</v>
      </c>
      <c r="D463" s="2">
        <v>89</v>
      </c>
      <c r="E463" s="2">
        <v>1.7</v>
      </c>
      <c r="F463" s="2" t="s">
        <v>12</v>
      </c>
      <c r="G463" s="2">
        <v>1984</v>
      </c>
      <c r="H463" s="2" t="s">
        <v>18</v>
      </c>
      <c r="I463" s="3">
        <v>44453</v>
      </c>
    </row>
    <row r="464" spans="1:9" ht="15.75" customHeight="1" x14ac:dyDescent="0.25">
      <c r="A464" s="2" t="s">
        <v>947</v>
      </c>
      <c r="B464" s="2" t="s">
        <v>948</v>
      </c>
      <c r="C464" s="2" t="s">
        <v>16</v>
      </c>
      <c r="D464" s="2">
        <v>163</v>
      </c>
      <c r="E464" s="2">
        <v>8.8000000000000007</v>
      </c>
      <c r="F464" s="2" t="s">
        <v>24</v>
      </c>
      <c r="G464" s="2">
        <v>2010</v>
      </c>
      <c r="H464" s="2" t="s">
        <v>13</v>
      </c>
      <c r="I464" s="3">
        <v>45345</v>
      </c>
    </row>
    <row r="465" spans="1:9" ht="15.75" customHeight="1" x14ac:dyDescent="0.25">
      <c r="A465" s="2" t="s">
        <v>949</v>
      </c>
      <c r="B465" s="2" t="s">
        <v>950</v>
      </c>
      <c r="C465" s="2" t="s">
        <v>27</v>
      </c>
      <c r="D465" s="2">
        <v>191</v>
      </c>
      <c r="E465" s="2">
        <v>8.6999999999999993</v>
      </c>
      <c r="F465" s="2" t="s">
        <v>17</v>
      </c>
      <c r="G465" s="2">
        <v>1982</v>
      </c>
      <c r="H465" s="2" t="s">
        <v>18</v>
      </c>
      <c r="I465" s="3">
        <v>45106</v>
      </c>
    </row>
    <row r="466" spans="1:9" ht="15.75" customHeight="1" x14ac:dyDescent="0.25">
      <c r="A466" s="2" t="s">
        <v>951</v>
      </c>
      <c r="B466" s="2" t="s">
        <v>952</v>
      </c>
      <c r="C466" s="2" t="s">
        <v>46</v>
      </c>
      <c r="D466" s="2">
        <v>60</v>
      </c>
      <c r="E466" s="2">
        <v>6.5</v>
      </c>
      <c r="F466" s="2" t="s">
        <v>17</v>
      </c>
      <c r="G466" s="2">
        <v>1998</v>
      </c>
      <c r="H466" s="2" t="s">
        <v>13</v>
      </c>
      <c r="I466" s="3">
        <v>44327</v>
      </c>
    </row>
    <row r="467" spans="1:9" ht="15.75" customHeight="1" x14ac:dyDescent="0.25">
      <c r="A467" s="2" t="s">
        <v>953</v>
      </c>
      <c r="B467" s="2" t="s">
        <v>954</v>
      </c>
      <c r="C467" s="2" t="s">
        <v>46</v>
      </c>
      <c r="D467" s="2">
        <v>198</v>
      </c>
      <c r="E467" s="2">
        <v>5.6</v>
      </c>
      <c r="F467" s="2" t="s">
        <v>28</v>
      </c>
      <c r="G467" s="2">
        <v>2006</v>
      </c>
      <c r="H467" s="2" t="s">
        <v>18</v>
      </c>
      <c r="I467" s="3">
        <v>44781</v>
      </c>
    </row>
    <row r="468" spans="1:9" ht="15.75" customHeight="1" x14ac:dyDescent="0.25">
      <c r="A468" s="2" t="s">
        <v>955</v>
      </c>
      <c r="B468" s="2" t="s">
        <v>956</v>
      </c>
      <c r="C468" s="2" t="s">
        <v>31</v>
      </c>
      <c r="D468" s="2">
        <v>178</v>
      </c>
      <c r="E468" s="2">
        <v>5.2</v>
      </c>
      <c r="F468" s="2" t="s">
        <v>17</v>
      </c>
      <c r="G468" s="2">
        <v>1991</v>
      </c>
      <c r="H468" s="2" t="s">
        <v>13</v>
      </c>
      <c r="I468" s="3">
        <v>44585</v>
      </c>
    </row>
    <row r="469" spans="1:9" ht="15.75" customHeight="1" x14ac:dyDescent="0.25">
      <c r="A469" s="2" t="s">
        <v>957</v>
      </c>
      <c r="B469" s="2" t="s">
        <v>958</v>
      </c>
      <c r="C469" s="2" t="s">
        <v>54</v>
      </c>
      <c r="D469" s="2">
        <v>165</v>
      </c>
      <c r="E469" s="2">
        <v>6</v>
      </c>
      <c r="F469" s="2" t="s">
        <v>12</v>
      </c>
      <c r="G469" s="2">
        <v>1988</v>
      </c>
      <c r="H469" s="2" t="s">
        <v>13</v>
      </c>
      <c r="I469" s="3">
        <v>45042</v>
      </c>
    </row>
    <row r="470" spans="1:9" ht="15.75" customHeight="1" x14ac:dyDescent="0.25">
      <c r="A470" s="2" t="s">
        <v>959</v>
      </c>
      <c r="B470" s="2" t="s">
        <v>960</v>
      </c>
      <c r="C470" s="2" t="s">
        <v>31</v>
      </c>
      <c r="D470" s="2">
        <v>73</v>
      </c>
      <c r="E470" s="2">
        <v>8.1</v>
      </c>
      <c r="F470" s="2" t="s">
        <v>21</v>
      </c>
      <c r="G470" s="2">
        <v>2021</v>
      </c>
      <c r="H470" s="2" t="s">
        <v>18</v>
      </c>
      <c r="I470" s="3">
        <v>44841</v>
      </c>
    </row>
    <row r="471" spans="1:9" ht="15.75" customHeight="1" x14ac:dyDescent="0.25">
      <c r="A471" s="2" t="s">
        <v>961</v>
      </c>
      <c r="B471" s="2" t="s">
        <v>962</v>
      </c>
      <c r="C471" s="2" t="s">
        <v>16</v>
      </c>
      <c r="D471" s="2">
        <v>108</v>
      </c>
      <c r="E471" s="2">
        <v>9.1</v>
      </c>
      <c r="F471" s="2" t="s">
        <v>17</v>
      </c>
      <c r="G471" s="2">
        <v>2021</v>
      </c>
      <c r="H471" s="2" t="s">
        <v>18</v>
      </c>
      <c r="I471" s="3">
        <v>45413</v>
      </c>
    </row>
    <row r="472" spans="1:9" ht="15.75" customHeight="1" x14ac:dyDescent="0.25">
      <c r="A472" s="2" t="s">
        <v>963</v>
      </c>
      <c r="B472" s="2" t="s">
        <v>964</v>
      </c>
      <c r="C472" s="2" t="s">
        <v>27</v>
      </c>
      <c r="D472" s="2">
        <v>192</v>
      </c>
      <c r="E472" s="2">
        <v>5</v>
      </c>
      <c r="F472" s="2" t="s">
        <v>17</v>
      </c>
      <c r="G472" s="2">
        <v>2006</v>
      </c>
      <c r="H472" s="2" t="s">
        <v>18</v>
      </c>
      <c r="I472" s="3">
        <v>45420</v>
      </c>
    </row>
    <row r="473" spans="1:9" ht="15.75" customHeight="1" x14ac:dyDescent="0.25">
      <c r="A473" s="2" t="s">
        <v>965</v>
      </c>
      <c r="B473" s="2" t="s">
        <v>966</v>
      </c>
      <c r="C473" s="2" t="s">
        <v>27</v>
      </c>
      <c r="D473" s="2">
        <v>152</v>
      </c>
      <c r="E473" s="2">
        <v>8.3000000000000007</v>
      </c>
      <c r="F473" s="2" t="s">
        <v>21</v>
      </c>
      <c r="G473" s="2">
        <v>2003</v>
      </c>
      <c r="H473" s="2" t="s">
        <v>18</v>
      </c>
      <c r="I473" s="3">
        <v>44231</v>
      </c>
    </row>
    <row r="474" spans="1:9" ht="15.75" customHeight="1" x14ac:dyDescent="0.25">
      <c r="A474" s="2" t="s">
        <v>967</v>
      </c>
      <c r="B474" s="2" t="s">
        <v>968</v>
      </c>
      <c r="C474" s="2" t="s">
        <v>16</v>
      </c>
      <c r="D474" s="2">
        <v>187</v>
      </c>
      <c r="E474" s="2">
        <v>6.9</v>
      </c>
      <c r="F474" s="2" t="s">
        <v>21</v>
      </c>
      <c r="G474" s="2">
        <v>2004</v>
      </c>
      <c r="H474" s="2" t="s">
        <v>18</v>
      </c>
      <c r="I474" s="3">
        <v>45331</v>
      </c>
    </row>
    <row r="475" spans="1:9" ht="15.75" customHeight="1" x14ac:dyDescent="0.25">
      <c r="A475" s="2" t="s">
        <v>969</v>
      </c>
      <c r="B475" s="2" t="s">
        <v>970</v>
      </c>
      <c r="C475" s="2" t="s">
        <v>27</v>
      </c>
      <c r="D475" s="2">
        <v>173</v>
      </c>
      <c r="E475" s="2">
        <v>3.9</v>
      </c>
      <c r="F475" s="2" t="s">
        <v>12</v>
      </c>
      <c r="G475" s="2">
        <v>2008</v>
      </c>
      <c r="H475" s="2" t="s">
        <v>18</v>
      </c>
      <c r="I475" s="3">
        <v>44950</v>
      </c>
    </row>
    <row r="476" spans="1:9" ht="15.75" customHeight="1" x14ac:dyDescent="0.25">
      <c r="A476" s="2" t="s">
        <v>971</v>
      </c>
      <c r="B476" s="2" t="s">
        <v>972</v>
      </c>
      <c r="C476" s="2" t="s">
        <v>31</v>
      </c>
      <c r="D476" s="2">
        <v>73</v>
      </c>
      <c r="E476" s="2">
        <v>5.3</v>
      </c>
      <c r="F476" s="2" t="s">
        <v>17</v>
      </c>
      <c r="G476" s="2">
        <v>2004</v>
      </c>
      <c r="H476" s="2" t="s">
        <v>18</v>
      </c>
      <c r="I476" s="3">
        <v>45388</v>
      </c>
    </row>
    <row r="477" spans="1:9" ht="15.75" customHeight="1" x14ac:dyDescent="0.25">
      <c r="A477" s="2" t="s">
        <v>973</v>
      </c>
      <c r="B477" s="2" t="s">
        <v>974</v>
      </c>
      <c r="C477" s="2" t="s">
        <v>11</v>
      </c>
      <c r="D477" s="2">
        <v>112</v>
      </c>
      <c r="E477" s="2">
        <v>2.4</v>
      </c>
      <c r="F477" s="2" t="s">
        <v>12</v>
      </c>
      <c r="G477" s="2">
        <v>2004</v>
      </c>
      <c r="H477" s="2" t="s">
        <v>13</v>
      </c>
      <c r="I477" s="3">
        <v>45461</v>
      </c>
    </row>
    <row r="478" spans="1:9" ht="15.75" customHeight="1" x14ac:dyDescent="0.25">
      <c r="A478" s="2" t="s">
        <v>975</v>
      </c>
      <c r="B478" s="2" t="s">
        <v>976</v>
      </c>
      <c r="C478" s="2" t="s">
        <v>31</v>
      </c>
      <c r="D478" s="2">
        <v>128</v>
      </c>
      <c r="E478" s="2">
        <v>1.6</v>
      </c>
      <c r="F478" s="2" t="s">
        <v>17</v>
      </c>
      <c r="G478" s="2">
        <v>1985</v>
      </c>
      <c r="H478" s="2" t="s">
        <v>13</v>
      </c>
      <c r="I478" s="3">
        <v>44333</v>
      </c>
    </row>
    <row r="479" spans="1:9" ht="15.75" customHeight="1" x14ac:dyDescent="0.25">
      <c r="A479" s="2" t="s">
        <v>977</v>
      </c>
      <c r="B479" s="2" t="s">
        <v>978</v>
      </c>
      <c r="C479" s="2" t="s">
        <v>11</v>
      </c>
      <c r="D479" s="2">
        <v>200</v>
      </c>
      <c r="E479" s="2">
        <v>1.9</v>
      </c>
      <c r="F479" s="2" t="s">
        <v>24</v>
      </c>
      <c r="G479" s="2">
        <v>2023</v>
      </c>
      <c r="H479" s="2" t="s">
        <v>13</v>
      </c>
      <c r="I479" s="3">
        <v>44139</v>
      </c>
    </row>
    <row r="480" spans="1:9" ht="15.75" customHeight="1" x14ac:dyDescent="0.25">
      <c r="A480" s="2" t="s">
        <v>979</v>
      </c>
      <c r="B480" s="2" t="s">
        <v>980</v>
      </c>
      <c r="C480" s="2" t="s">
        <v>16</v>
      </c>
      <c r="D480" s="2">
        <v>93</v>
      </c>
      <c r="E480" s="2">
        <v>9.1</v>
      </c>
      <c r="F480" s="2" t="s">
        <v>17</v>
      </c>
      <c r="G480" s="2">
        <v>2022</v>
      </c>
      <c r="H480" s="2" t="s">
        <v>13</v>
      </c>
      <c r="I480" s="3">
        <v>43844</v>
      </c>
    </row>
    <row r="481" spans="1:9" ht="15.75" customHeight="1" x14ac:dyDescent="0.25">
      <c r="A481" s="2" t="s">
        <v>981</v>
      </c>
      <c r="B481" s="2" t="s">
        <v>982</v>
      </c>
      <c r="C481" s="2" t="s">
        <v>27</v>
      </c>
      <c r="D481" s="2">
        <v>133</v>
      </c>
      <c r="E481" s="2">
        <v>4.0999999999999996</v>
      </c>
      <c r="F481" s="2" t="s">
        <v>28</v>
      </c>
      <c r="G481" s="2">
        <v>2014</v>
      </c>
      <c r="H481" s="2" t="s">
        <v>18</v>
      </c>
      <c r="I481" s="3">
        <v>44670</v>
      </c>
    </row>
    <row r="482" spans="1:9" ht="15.75" customHeight="1" x14ac:dyDescent="0.25">
      <c r="A482" s="2" t="s">
        <v>983</v>
      </c>
      <c r="B482" s="2" t="s">
        <v>984</v>
      </c>
      <c r="C482" s="2" t="s">
        <v>46</v>
      </c>
      <c r="D482" s="2">
        <v>172</v>
      </c>
      <c r="E482" s="2">
        <v>7.4</v>
      </c>
      <c r="F482" s="2" t="s">
        <v>28</v>
      </c>
      <c r="G482" s="2">
        <v>1988</v>
      </c>
      <c r="H482" s="2" t="s">
        <v>13</v>
      </c>
      <c r="I482" s="3">
        <v>43879</v>
      </c>
    </row>
    <row r="483" spans="1:9" ht="15.75" customHeight="1" x14ac:dyDescent="0.25">
      <c r="A483" s="2" t="s">
        <v>985</v>
      </c>
      <c r="B483" s="2" t="s">
        <v>986</v>
      </c>
      <c r="C483" s="2" t="s">
        <v>54</v>
      </c>
      <c r="D483" s="2">
        <v>184</v>
      </c>
      <c r="E483" s="2">
        <v>5.5</v>
      </c>
      <c r="F483" s="2" t="s">
        <v>28</v>
      </c>
      <c r="G483" s="2">
        <v>2021</v>
      </c>
      <c r="H483" s="2" t="s">
        <v>18</v>
      </c>
      <c r="I483" s="3">
        <v>44308</v>
      </c>
    </row>
    <row r="484" spans="1:9" ht="15.75" customHeight="1" x14ac:dyDescent="0.25">
      <c r="A484" s="2" t="s">
        <v>987</v>
      </c>
      <c r="B484" s="2" t="s">
        <v>988</v>
      </c>
      <c r="C484" s="2" t="s">
        <v>46</v>
      </c>
      <c r="D484" s="2">
        <v>91</v>
      </c>
      <c r="E484" s="2">
        <v>2.6</v>
      </c>
      <c r="F484" s="2" t="s">
        <v>28</v>
      </c>
      <c r="G484" s="2">
        <v>2002</v>
      </c>
      <c r="H484" s="2" t="s">
        <v>13</v>
      </c>
      <c r="I484" s="3">
        <v>44940</v>
      </c>
    </row>
    <row r="485" spans="1:9" ht="15.75" customHeight="1" x14ac:dyDescent="0.25">
      <c r="A485" s="2" t="s">
        <v>989</v>
      </c>
      <c r="B485" s="2" t="s">
        <v>990</v>
      </c>
      <c r="C485" s="2" t="s">
        <v>11</v>
      </c>
      <c r="D485" s="2">
        <v>67</v>
      </c>
      <c r="E485" s="2">
        <v>3.2</v>
      </c>
      <c r="F485" s="2" t="s">
        <v>12</v>
      </c>
      <c r="G485" s="2">
        <v>1987</v>
      </c>
      <c r="H485" s="2" t="s">
        <v>18</v>
      </c>
      <c r="I485" s="3">
        <v>44540</v>
      </c>
    </row>
    <row r="486" spans="1:9" ht="15.75" customHeight="1" x14ac:dyDescent="0.25">
      <c r="A486" s="2" t="s">
        <v>991</v>
      </c>
      <c r="B486" s="2" t="s">
        <v>992</v>
      </c>
      <c r="C486" s="2" t="s">
        <v>31</v>
      </c>
      <c r="D486" s="2">
        <v>121</v>
      </c>
      <c r="E486" s="2">
        <v>4.9000000000000004</v>
      </c>
      <c r="F486" s="2" t="s">
        <v>17</v>
      </c>
      <c r="G486" s="2">
        <v>1991</v>
      </c>
      <c r="H486" s="2" t="s">
        <v>13</v>
      </c>
      <c r="I486" s="3">
        <v>45133</v>
      </c>
    </row>
    <row r="487" spans="1:9" ht="15.75" customHeight="1" x14ac:dyDescent="0.25">
      <c r="A487" s="2" t="s">
        <v>993</v>
      </c>
      <c r="B487" s="2" t="s">
        <v>994</v>
      </c>
      <c r="C487" s="2" t="s">
        <v>31</v>
      </c>
      <c r="D487" s="2">
        <v>100</v>
      </c>
      <c r="E487" s="2">
        <v>5</v>
      </c>
      <c r="F487" s="2" t="s">
        <v>24</v>
      </c>
      <c r="G487" s="2">
        <v>2014</v>
      </c>
      <c r="H487" s="2" t="s">
        <v>18</v>
      </c>
      <c r="I487" s="3">
        <v>45251</v>
      </c>
    </row>
    <row r="488" spans="1:9" ht="15.75" customHeight="1" x14ac:dyDescent="0.25">
      <c r="A488" s="2" t="s">
        <v>995</v>
      </c>
      <c r="B488" s="2" t="s">
        <v>996</v>
      </c>
      <c r="C488" s="2" t="s">
        <v>31</v>
      </c>
      <c r="D488" s="2">
        <v>139</v>
      </c>
      <c r="E488" s="2">
        <v>5.7</v>
      </c>
      <c r="F488" s="2" t="s">
        <v>12</v>
      </c>
      <c r="G488" s="2">
        <v>2005</v>
      </c>
      <c r="H488" s="2" t="s">
        <v>18</v>
      </c>
      <c r="I488" s="3">
        <v>43850</v>
      </c>
    </row>
    <row r="489" spans="1:9" ht="15.75" customHeight="1" x14ac:dyDescent="0.25">
      <c r="A489" s="2" t="s">
        <v>997</v>
      </c>
      <c r="B489" s="2" t="s">
        <v>998</v>
      </c>
      <c r="C489" s="2" t="s">
        <v>31</v>
      </c>
      <c r="D489" s="2">
        <v>63</v>
      </c>
      <c r="E489" s="2">
        <v>2.4</v>
      </c>
      <c r="F489" s="2" t="s">
        <v>21</v>
      </c>
      <c r="G489" s="2">
        <v>2013</v>
      </c>
      <c r="H489" s="2" t="s">
        <v>13</v>
      </c>
      <c r="I489" s="3">
        <v>44517</v>
      </c>
    </row>
    <row r="490" spans="1:9" ht="15.75" customHeight="1" x14ac:dyDescent="0.25">
      <c r="A490" s="2" t="s">
        <v>999</v>
      </c>
      <c r="B490" s="2" t="s">
        <v>1000</v>
      </c>
      <c r="C490" s="2" t="s">
        <v>54</v>
      </c>
      <c r="D490" s="2">
        <v>164</v>
      </c>
      <c r="E490" s="2">
        <v>4.4000000000000004</v>
      </c>
      <c r="F490" s="2" t="s">
        <v>17</v>
      </c>
      <c r="G490" s="2">
        <v>1988</v>
      </c>
      <c r="H490" s="2" t="s">
        <v>13</v>
      </c>
      <c r="I490" s="3">
        <v>43833</v>
      </c>
    </row>
    <row r="491" spans="1:9" ht="15.75" customHeight="1" x14ac:dyDescent="0.25">
      <c r="A491" s="2" t="s">
        <v>1001</v>
      </c>
      <c r="B491" s="2" t="s">
        <v>1002</v>
      </c>
      <c r="C491" s="2" t="s">
        <v>16</v>
      </c>
      <c r="D491" s="2">
        <v>83</v>
      </c>
      <c r="E491" s="2">
        <v>3.5</v>
      </c>
      <c r="F491" s="2" t="s">
        <v>49</v>
      </c>
      <c r="G491" s="2">
        <v>1994</v>
      </c>
      <c r="H491" s="2" t="s">
        <v>18</v>
      </c>
      <c r="I491" s="3">
        <v>45385</v>
      </c>
    </row>
    <row r="492" spans="1:9" ht="15.75" customHeight="1" x14ac:dyDescent="0.25">
      <c r="A492" s="2" t="s">
        <v>1003</v>
      </c>
      <c r="B492" s="2" t="s">
        <v>1004</v>
      </c>
      <c r="C492" s="2" t="s">
        <v>31</v>
      </c>
      <c r="D492" s="2">
        <v>117</v>
      </c>
      <c r="E492" s="2">
        <v>4.7</v>
      </c>
      <c r="F492" s="2" t="s">
        <v>17</v>
      </c>
      <c r="G492" s="2">
        <v>1980</v>
      </c>
      <c r="H492" s="2" t="s">
        <v>18</v>
      </c>
      <c r="I492" s="3">
        <v>45177</v>
      </c>
    </row>
    <row r="493" spans="1:9" ht="15.75" customHeight="1" x14ac:dyDescent="0.25">
      <c r="A493" s="2" t="s">
        <v>1005</v>
      </c>
      <c r="B493" s="2" t="s">
        <v>1006</v>
      </c>
      <c r="C493" s="2" t="s">
        <v>11</v>
      </c>
      <c r="D493" s="2">
        <v>89</v>
      </c>
      <c r="E493" s="2">
        <v>4</v>
      </c>
      <c r="F493" s="2" t="s">
        <v>12</v>
      </c>
      <c r="G493" s="2">
        <v>1981</v>
      </c>
      <c r="H493" s="2" t="s">
        <v>13</v>
      </c>
      <c r="I493" s="3">
        <v>44601</v>
      </c>
    </row>
    <row r="494" spans="1:9" ht="15.75" customHeight="1" x14ac:dyDescent="0.25">
      <c r="A494" s="2" t="s">
        <v>1007</v>
      </c>
      <c r="B494" s="2" t="s">
        <v>1008</v>
      </c>
      <c r="C494" s="2" t="s">
        <v>27</v>
      </c>
      <c r="D494" s="2">
        <v>178</v>
      </c>
      <c r="E494" s="2">
        <v>6.4</v>
      </c>
      <c r="F494" s="2" t="s">
        <v>28</v>
      </c>
      <c r="G494" s="2">
        <v>1999</v>
      </c>
      <c r="H494" s="2" t="s">
        <v>18</v>
      </c>
      <c r="I494" s="3">
        <v>45342</v>
      </c>
    </row>
    <row r="495" spans="1:9" ht="15.75" customHeight="1" x14ac:dyDescent="0.25">
      <c r="A495" s="2" t="s">
        <v>1009</v>
      </c>
      <c r="B495" s="2" t="s">
        <v>1010</v>
      </c>
      <c r="C495" s="2" t="s">
        <v>54</v>
      </c>
      <c r="D495" s="2">
        <v>90</v>
      </c>
      <c r="E495" s="2">
        <v>8.1</v>
      </c>
      <c r="F495" s="2" t="s">
        <v>49</v>
      </c>
      <c r="G495" s="2">
        <v>2009</v>
      </c>
      <c r="H495" s="2" t="s">
        <v>13</v>
      </c>
      <c r="I495" s="3">
        <v>45320</v>
      </c>
    </row>
    <row r="496" spans="1:9" ht="15.75" customHeight="1" x14ac:dyDescent="0.25">
      <c r="A496" s="2" t="s">
        <v>1011</v>
      </c>
      <c r="B496" s="2" t="s">
        <v>1012</v>
      </c>
      <c r="C496" s="2" t="s">
        <v>11</v>
      </c>
      <c r="D496" s="2">
        <v>99</v>
      </c>
      <c r="E496" s="2">
        <v>6.8</v>
      </c>
      <c r="F496" s="2" t="s">
        <v>12</v>
      </c>
      <c r="G496" s="2">
        <v>2023</v>
      </c>
      <c r="H496" s="2" t="s">
        <v>18</v>
      </c>
      <c r="I496" s="3">
        <v>44460</v>
      </c>
    </row>
    <row r="497" spans="1:9" ht="15.75" customHeight="1" x14ac:dyDescent="0.25">
      <c r="A497" s="2" t="s">
        <v>1013</v>
      </c>
      <c r="B497" s="2" t="s">
        <v>1014</v>
      </c>
      <c r="C497" s="2" t="s">
        <v>11</v>
      </c>
      <c r="D497" s="2">
        <v>187</v>
      </c>
      <c r="E497" s="2">
        <v>1.6</v>
      </c>
      <c r="F497" s="2" t="s">
        <v>17</v>
      </c>
      <c r="G497" s="2">
        <v>2014</v>
      </c>
      <c r="H497" s="2" t="s">
        <v>13</v>
      </c>
      <c r="I497" s="3">
        <v>44043</v>
      </c>
    </row>
    <row r="498" spans="1:9" ht="15.75" customHeight="1" x14ac:dyDescent="0.25">
      <c r="A498" s="2" t="s">
        <v>1015</v>
      </c>
      <c r="B498" s="2" t="s">
        <v>1016</v>
      </c>
      <c r="C498" s="2" t="s">
        <v>31</v>
      </c>
      <c r="D498" s="2">
        <v>134</v>
      </c>
      <c r="E498" s="2">
        <v>1.9</v>
      </c>
      <c r="F498" s="2" t="s">
        <v>24</v>
      </c>
      <c r="G498" s="2">
        <v>2007</v>
      </c>
      <c r="H498" s="2" t="s">
        <v>13</v>
      </c>
      <c r="I498" s="3">
        <v>44251</v>
      </c>
    </row>
    <row r="499" spans="1:9" ht="15.75" customHeight="1" x14ac:dyDescent="0.25">
      <c r="A499" s="2" t="s">
        <v>1017</v>
      </c>
      <c r="B499" s="2" t="s">
        <v>1018</v>
      </c>
      <c r="C499" s="2" t="s">
        <v>27</v>
      </c>
      <c r="D499" s="2">
        <v>190</v>
      </c>
      <c r="E499" s="2">
        <v>7.1</v>
      </c>
      <c r="F499" s="2" t="s">
        <v>12</v>
      </c>
      <c r="G499" s="2">
        <v>2014</v>
      </c>
      <c r="H499" s="2" t="s">
        <v>18</v>
      </c>
      <c r="I499" s="3">
        <v>44916</v>
      </c>
    </row>
    <row r="500" spans="1:9" ht="15.75" customHeight="1" x14ac:dyDescent="0.25">
      <c r="A500" s="2" t="s">
        <v>1019</v>
      </c>
      <c r="B500" s="2" t="s">
        <v>1020</v>
      </c>
      <c r="C500" s="2" t="s">
        <v>31</v>
      </c>
      <c r="D500" s="2">
        <v>129</v>
      </c>
      <c r="E500" s="2">
        <v>3.6</v>
      </c>
      <c r="F500" s="2" t="s">
        <v>24</v>
      </c>
      <c r="G500" s="2">
        <v>2004</v>
      </c>
      <c r="H500" s="2" t="s">
        <v>13</v>
      </c>
      <c r="I500" s="3">
        <v>44318</v>
      </c>
    </row>
    <row r="501" spans="1:9" ht="15.75" customHeight="1" x14ac:dyDescent="0.25">
      <c r="A501" s="2" t="s">
        <v>1021</v>
      </c>
      <c r="B501" s="2" t="s">
        <v>1022</v>
      </c>
      <c r="C501" s="2" t="s">
        <v>11</v>
      </c>
      <c r="D501" s="2">
        <v>166</v>
      </c>
      <c r="E501" s="2">
        <v>7.5</v>
      </c>
      <c r="F501" s="2" t="s">
        <v>49</v>
      </c>
      <c r="G501" s="2">
        <v>1994</v>
      </c>
      <c r="H501" s="2" t="s">
        <v>18</v>
      </c>
      <c r="I501" s="3">
        <v>44690</v>
      </c>
    </row>
    <row r="502" spans="1:9" ht="15.75" customHeight="1" x14ac:dyDescent="0.25"/>
    <row r="503" spans="1:9" ht="15.75" customHeight="1" x14ac:dyDescent="0.25"/>
    <row r="504" spans="1:9" ht="15.75" customHeight="1" x14ac:dyDescent="0.25"/>
    <row r="505" spans="1:9" ht="15.75" customHeight="1" x14ac:dyDescent="0.25"/>
    <row r="506" spans="1:9" ht="15.75" customHeight="1" x14ac:dyDescent="0.25"/>
    <row r="507" spans="1:9" ht="15.75" customHeight="1" x14ac:dyDescent="0.25"/>
    <row r="508" spans="1:9" ht="15.75" customHeight="1" x14ac:dyDescent="0.25"/>
    <row r="509" spans="1:9" ht="15.75" customHeight="1" x14ac:dyDescent="0.25"/>
    <row r="510" spans="1:9" ht="15.75" customHeight="1" x14ac:dyDescent="0.25"/>
    <row r="511" spans="1:9" ht="15.75" customHeight="1" x14ac:dyDescent="0.25"/>
    <row r="512" spans="1:9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C074D-28C9-42D7-B0FD-EFD95F9897F6}">
  <dimension ref="A1:N502"/>
  <sheetViews>
    <sheetView tabSelected="1" workbookViewId="0">
      <selection activeCell="B13" sqref="B13"/>
    </sheetView>
  </sheetViews>
  <sheetFormatPr defaultRowHeight="15" x14ac:dyDescent="0.25"/>
  <cols>
    <col min="2" max="2" width="15.5703125" bestFit="1" customWidth="1"/>
    <col min="3" max="3" width="14" bestFit="1" customWidth="1"/>
    <col min="5" max="5" width="11" customWidth="1"/>
    <col min="6" max="6" width="17.7109375" bestFit="1" customWidth="1"/>
    <col min="7" max="10" width="11" customWidth="1"/>
    <col min="11" max="11" width="8.28515625" bestFit="1" customWidth="1"/>
    <col min="12" max="13" width="8.28515625" customWidth="1"/>
    <col min="14" max="14" width="11" customWidth="1"/>
  </cols>
  <sheetData>
    <row r="1" spans="1:14" x14ac:dyDescent="0.25">
      <c r="A1" s="4" t="s">
        <v>1028</v>
      </c>
      <c r="B1" s="4" t="s">
        <v>1029</v>
      </c>
      <c r="C1" t="s">
        <v>1036</v>
      </c>
      <c r="E1" s="4" t="s">
        <v>1035</v>
      </c>
      <c r="F1" s="4" t="s">
        <v>1038</v>
      </c>
      <c r="G1" s="4" t="s">
        <v>1039</v>
      </c>
      <c r="H1" s="4" t="s">
        <v>1040</v>
      </c>
      <c r="I1" s="4" t="s">
        <v>1041</v>
      </c>
      <c r="J1" s="4" t="s">
        <v>1042</v>
      </c>
      <c r="K1" s="4" t="s">
        <v>1044</v>
      </c>
      <c r="L1" s="4" t="s">
        <v>1046</v>
      </c>
      <c r="M1" s="4" t="s">
        <v>1037</v>
      </c>
      <c r="N1" s="4" t="s">
        <v>1045</v>
      </c>
    </row>
    <row r="2" spans="1:14" x14ac:dyDescent="0.25">
      <c r="A2" s="4" t="s">
        <v>1023</v>
      </c>
      <c r="B2">
        <f>SUM(Sheet1!D2:D501)</f>
        <v>66452</v>
      </c>
      <c r="E2" s="4" t="str">
        <f>IF(Sheet1!D2&gt;120,"Long","Short")</f>
        <v>Short</v>
      </c>
      <c r="F2" t="str">
        <f>_xlfn.CONCAT(Sheet1!A2," -",Sheet1!B2)</f>
        <v>M1000 -Movie_0</v>
      </c>
      <c r="G2" t="str">
        <f>LEFT(Sheet1!F2,3)</f>
        <v>Jap</v>
      </c>
      <c r="H2" t="str">
        <f>RIGHT(Sheet1!G2,2)</f>
        <v>95</v>
      </c>
      <c r="I2">
        <f>LEN(Sheet1!B2)</f>
        <v>7</v>
      </c>
      <c r="J2" t="str">
        <f>TRIM(Sheet1!C2)</f>
        <v>Horror</v>
      </c>
      <c r="K2" t="str">
        <f>VLOOKUP(Sheet1!A2,Sheet1!A2:I501,3,0)</f>
        <v>Horror</v>
      </c>
      <c r="L2">
        <f>VLOOKUP(Sheet1!B2,Sheet1!B2:I501,3,0)</f>
        <v>87</v>
      </c>
    </row>
    <row r="3" spans="1:14" x14ac:dyDescent="0.25">
      <c r="A3" s="4" t="s">
        <v>1024</v>
      </c>
      <c r="B3" s="5">
        <f>AVERAGE(Sheet1!E2:E501)</f>
        <v>5.5433999999999992</v>
      </c>
      <c r="E3" t="str">
        <f>IF(Sheet1!D3&gt;120,"Long","Short")</f>
        <v>Long</v>
      </c>
      <c r="F3" t="str">
        <f>_xlfn.CONCAT(Sheet1!A3," -",Sheet1!B3)</f>
        <v>M1001 -Movie_1</v>
      </c>
      <c r="G3" t="str">
        <f>LEFT(Sheet1!F3,3)</f>
        <v>Hin</v>
      </c>
      <c r="H3" t="str">
        <f>RIGHT(Sheet1!G3,2)</f>
        <v>23</v>
      </c>
      <c r="I3">
        <f>LEN(Sheet1!B3)</f>
        <v>7</v>
      </c>
      <c r="J3" t="str">
        <f>TRIM(Sheet1!C3)</f>
        <v>Action</v>
      </c>
      <c r="K3" t="str">
        <f>VLOOKUP(Sheet1!A3,Sheet1!A3:I502,3,0)</f>
        <v>Action</v>
      </c>
      <c r="L3">
        <f>VLOOKUP(Sheet1!B3,Sheet1!B3:I502,3,0)</f>
        <v>157</v>
      </c>
    </row>
    <row r="4" spans="1:14" x14ac:dyDescent="0.25">
      <c r="A4" s="4" t="s">
        <v>1026</v>
      </c>
      <c r="B4">
        <f>MAX(Sheet1!D2:D501)</f>
        <v>200</v>
      </c>
      <c r="C4" s="4" t="s">
        <v>1030</v>
      </c>
      <c r="E4" t="str">
        <f>IF(Sheet1!D4&gt;120,"Long","Short")</f>
        <v>Short</v>
      </c>
      <c r="F4" t="str">
        <f>_xlfn.CONCAT(Sheet1!A4," -",Sheet1!B4)</f>
        <v>M1002 -Movie_2</v>
      </c>
      <c r="G4" t="str">
        <f>LEFT(Sheet1!F4,3)</f>
        <v>Spa</v>
      </c>
      <c r="H4" t="str">
        <f>RIGHT(Sheet1!G4,2)</f>
        <v>05</v>
      </c>
      <c r="I4">
        <f>LEN(Sheet1!B4)</f>
        <v>7</v>
      </c>
      <c r="J4" t="str">
        <f>TRIM(Sheet1!C4)</f>
        <v>Action</v>
      </c>
      <c r="K4" t="str">
        <f>VLOOKUP(Sheet1!A4,Sheet1!A4:I503,3,0)</f>
        <v>Action</v>
      </c>
      <c r="L4">
        <f>VLOOKUP(Sheet1!B4,Sheet1!B4:I503,3,0)</f>
        <v>69</v>
      </c>
    </row>
    <row r="5" spans="1:14" x14ac:dyDescent="0.25">
      <c r="B5">
        <f>MIN(Sheet1!D2:D501)</f>
        <v>60</v>
      </c>
      <c r="C5" s="4" t="s">
        <v>1031</v>
      </c>
      <c r="E5" t="str">
        <f>IF(Sheet1!D5&gt;120,"Long","Short")</f>
        <v>Long</v>
      </c>
      <c r="F5" t="str">
        <f>_xlfn.CONCAT(Sheet1!A5," -",Sheet1!B5)</f>
        <v>M1003 -Movie_3</v>
      </c>
      <c r="G5" t="str">
        <f>LEFT(Sheet1!F5,3)</f>
        <v>Fre</v>
      </c>
      <c r="H5" t="str">
        <f>RIGHT(Sheet1!G5,2)</f>
        <v>99</v>
      </c>
      <c r="I5">
        <f>LEN(Sheet1!B5)</f>
        <v>7</v>
      </c>
      <c r="J5" t="str">
        <f>TRIM(Sheet1!C5)</f>
        <v>Horror</v>
      </c>
      <c r="K5" t="str">
        <f>VLOOKUP(Sheet1!A5,Sheet1!A5:I504,3,0)</f>
        <v>Horror</v>
      </c>
      <c r="L5">
        <f>VLOOKUP(Sheet1!B5,Sheet1!B5:I504,3,0)</f>
        <v>180</v>
      </c>
    </row>
    <row r="6" spans="1:14" x14ac:dyDescent="0.25">
      <c r="A6" s="4" t="s">
        <v>1025</v>
      </c>
      <c r="B6">
        <f>COUNT(Sheet1!D2:D501)</f>
        <v>500</v>
      </c>
      <c r="E6" t="str">
        <f>IF(Sheet1!D6&gt;120,"Long","Short")</f>
        <v>Short</v>
      </c>
      <c r="F6" t="str">
        <f>_xlfn.CONCAT(Sheet1!A6," -",Sheet1!B6)</f>
        <v>M1004 -Movie_4</v>
      </c>
      <c r="G6" t="str">
        <f>LEFT(Sheet1!F6,3)</f>
        <v>Eng</v>
      </c>
      <c r="H6" t="str">
        <f>RIGHT(Sheet1!G6,2)</f>
        <v>09</v>
      </c>
      <c r="I6">
        <f>LEN(Sheet1!B6)</f>
        <v>7</v>
      </c>
      <c r="J6" t="str">
        <f>TRIM(Sheet1!C6)</f>
        <v>Drama</v>
      </c>
      <c r="K6" t="str">
        <f>VLOOKUP(Sheet1!A6,Sheet1!A6:I505,3,0)</f>
        <v>Drama</v>
      </c>
      <c r="L6">
        <f>VLOOKUP(Sheet1!B6,Sheet1!B6:I505,3,0)</f>
        <v>116</v>
      </c>
    </row>
    <row r="7" spans="1:14" x14ac:dyDescent="0.25">
      <c r="A7" s="4" t="s">
        <v>1027</v>
      </c>
      <c r="B7">
        <f>ROUND(Sheet1!E2,0)</f>
        <v>9</v>
      </c>
      <c r="E7" t="str">
        <f>IF(Sheet1!D7&gt;120,"Long","Short")</f>
        <v>Short</v>
      </c>
      <c r="F7" t="str">
        <f>_xlfn.CONCAT(Sheet1!A7," -",Sheet1!B7)</f>
        <v>M1005 -Movie_5</v>
      </c>
      <c r="G7" t="str">
        <f>LEFT(Sheet1!F7,3)</f>
        <v>Hin</v>
      </c>
      <c r="H7" t="str">
        <f>RIGHT(Sheet1!G7,2)</f>
        <v>84</v>
      </c>
      <c r="I7">
        <f>LEN(Sheet1!B7)</f>
        <v>7</v>
      </c>
      <c r="J7" t="str">
        <f>TRIM(Sheet1!C7)</f>
        <v>Comedy</v>
      </c>
      <c r="K7" t="str">
        <f>VLOOKUP(Sheet1!A7,Sheet1!A7:I506,3,0)</f>
        <v>Comedy</v>
      </c>
      <c r="L7">
        <f>VLOOKUP(Sheet1!B7,Sheet1!B7:I506,3,0)</f>
        <v>111</v>
      </c>
    </row>
    <row r="8" spans="1:14" x14ac:dyDescent="0.25">
      <c r="A8" s="4" t="s">
        <v>1032</v>
      </c>
      <c r="B8">
        <f>ROUNDUP(Sheet1!D2,1)</f>
        <v>87</v>
      </c>
      <c r="C8" s="4" t="s">
        <v>1033</v>
      </c>
      <c r="E8" t="str">
        <f>IF(Sheet1!D8&gt;120,"Long","Short")</f>
        <v>Long</v>
      </c>
      <c r="F8" t="str">
        <f>_xlfn.CONCAT(Sheet1!A8," -",Sheet1!B8)</f>
        <v>M1006 -Movie_6</v>
      </c>
      <c r="G8" t="str">
        <f>LEFT(Sheet1!F8,3)</f>
        <v>Jap</v>
      </c>
      <c r="H8" t="str">
        <f>RIGHT(Sheet1!G8,2)</f>
        <v>24</v>
      </c>
      <c r="I8">
        <f>LEN(Sheet1!B8)</f>
        <v>7</v>
      </c>
      <c r="J8" t="str">
        <f>TRIM(Sheet1!C8)</f>
        <v>Comedy</v>
      </c>
      <c r="K8" t="str">
        <f>VLOOKUP(Sheet1!A8,Sheet1!A8:I507,3,0)</f>
        <v>Comedy</v>
      </c>
      <c r="L8">
        <f>VLOOKUP(Sheet1!B8,Sheet1!B8:I507,3,0)</f>
        <v>177</v>
      </c>
    </row>
    <row r="9" spans="1:14" x14ac:dyDescent="0.25">
      <c r="B9">
        <f>ROUNDDOWN(Sheet1!D2,0)</f>
        <v>87</v>
      </c>
      <c r="C9" s="4" t="s">
        <v>1034</v>
      </c>
      <c r="E9" t="str">
        <f>IF(Sheet1!D9&gt;120,"Long","Short")</f>
        <v>Long</v>
      </c>
      <c r="F9" t="str">
        <f>_xlfn.CONCAT(Sheet1!A9," -",Sheet1!B9)</f>
        <v>M1007 -Movie_7</v>
      </c>
      <c r="G9" t="str">
        <f>LEFT(Sheet1!F9,3)</f>
        <v>Spa</v>
      </c>
      <c r="H9" t="str">
        <f>RIGHT(Sheet1!G9,2)</f>
        <v>83</v>
      </c>
      <c r="I9">
        <f>LEN(Sheet1!B9)</f>
        <v>7</v>
      </c>
      <c r="J9" t="str">
        <f>TRIM(Sheet1!C9)</f>
        <v>Comedy</v>
      </c>
      <c r="K9" t="str">
        <f>VLOOKUP(Sheet1!A9,Sheet1!A9:I508,3,0)</f>
        <v>Comedy</v>
      </c>
      <c r="L9">
        <f>VLOOKUP(Sheet1!B9,Sheet1!B9:I508,3,0)</f>
        <v>149</v>
      </c>
    </row>
    <row r="10" spans="1:14" x14ac:dyDescent="0.25">
      <c r="A10" s="4" t="s">
        <v>1043</v>
      </c>
      <c r="B10" s="6">
        <f ca="1">NOW()</f>
        <v>46247.600536458332</v>
      </c>
      <c r="E10" t="str">
        <f>IF(Sheet1!D10&gt;120,"Long","Short")</f>
        <v>Long</v>
      </c>
      <c r="F10" t="str">
        <f>_xlfn.CONCAT(Sheet1!A10," -",Sheet1!B10)</f>
        <v>M1008 -Movie_8</v>
      </c>
      <c r="G10" t="str">
        <f>LEFT(Sheet1!F10,3)</f>
        <v>Fre</v>
      </c>
      <c r="H10" t="str">
        <f>RIGHT(Sheet1!G10,2)</f>
        <v>90</v>
      </c>
      <c r="I10">
        <f>LEN(Sheet1!B10)</f>
        <v>7</v>
      </c>
      <c r="J10" t="str">
        <f>TRIM(Sheet1!C10)</f>
        <v>Horror</v>
      </c>
      <c r="K10" t="str">
        <f>VLOOKUP(Sheet1!A10,Sheet1!A10:I509,3,0)</f>
        <v>Horror</v>
      </c>
      <c r="L10">
        <f>VLOOKUP(Sheet1!B10,Sheet1!B10:I509,3,0)</f>
        <v>138</v>
      </c>
    </row>
    <row r="11" spans="1:14" x14ac:dyDescent="0.25">
      <c r="A11" t="s">
        <v>1046</v>
      </c>
      <c r="B11">
        <f>VLOOKUP(Sheet1!B27,Sheet1!B2:I501,3,0)</f>
        <v>126</v>
      </c>
      <c r="E11" t="str">
        <f>IF(Sheet1!D11&gt;120,"Long","Short")</f>
        <v>Short</v>
      </c>
      <c r="F11" t="str">
        <f>_xlfn.CONCAT(Sheet1!A11," -",Sheet1!B11)</f>
        <v>M1009 -Movie_9</v>
      </c>
      <c r="G11" t="str">
        <f>LEFT(Sheet1!F11,3)</f>
        <v>Fre</v>
      </c>
      <c r="H11" t="str">
        <f>RIGHT(Sheet1!G11,2)</f>
        <v>08</v>
      </c>
      <c r="I11">
        <f>LEN(Sheet1!B11)</f>
        <v>7</v>
      </c>
      <c r="J11" t="str">
        <f>TRIM(Sheet1!C11)</f>
        <v>Action</v>
      </c>
      <c r="K11" t="str">
        <f>VLOOKUP(Sheet1!A11,Sheet1!A11:I510,3,0)</f>
        <v>Action</v>
      </c>
      <c r="L11">
        <f>VLOOKUP(Sheet1!B11,Sheet1!B11:I510,3,0)</f>
        <v>118</v>
      </c>
    </row>
    <row r="12" spans="1:14" x14ac:dyDescent="0.25">
      <c r="A12" s="7" t="s">
        <v>1045</v>
      </c>
      <c r="B12">
        <f>INDEX(Sheet1!E2:E487,MATCH("M1025",Sheet1!A2:A501,0))</f>
        <v>5.0999999999999996</v>
      </c>
      <c r="E12" t="str">
        <f>IF(Sheet1!D12&gt;120,"Long","Short")</f>
        <v>Short</v>
      </c>
      <c r="F12" t="str">
        <f>_xlfn.CONCAT(Sheet1!A12," -",Sheet1!B12)</f>
        <v>M1010 -Movie_10</v>
      </c>
      <c r="G12" t="str">
        <f>LEFT(Sheet1!F12,3)</f>
        <v>Jap</v>
      </c>
      <c r="H12" t="str">
        <f>RIGHT(Sheet1!G12,2)</f>
        <v>06</v>
      </c>
      <c r="I12">
        <f>LEN(Sheet1!B12)</f>
        <v>8</v>
      </c>
      <c r="J12" t="str">
        <f>TRIM(Sheet1!C12)</f>
        <v>Horror</v>
      </c>
      <c r="K12" t="str">
        <f>VLOOKUP(Sheet1!A12,Sheet1!A12:I511,3,0)</f>
        <v>Horror</v>
      </c>
      <c r="L12">
        <f>VLOOKUP(Sheet1!B12,Sheet1!B12:I511,3,0)</f>
        <v>117</v>
      </c>
    </row>
    <row r="13" spans="1:14" x14ac:dyDescent="0.25">
      <c r="E13" t="str">
        <f>IF(Sheet1!D13&gt;120,"Long","Short")</f>
        <v>Short</v>
      </c>
      <c r="F13" t="str">
        <f>_xlfn.CONCAT(Sheet1!A13," -",Sheet1!B13)</f>
        <v>M1011 -Movie_11</v>
      </c>
      <c r="G13" t="str">
        <f>LEFT(Sheet1!F13,3)</f>
        <v>Jap</v>
      </c>
      <c r="H13" t="str">
        <f>RIGHT(Sheet1!G13,2)</f>
        <v>10</v>
      </c>
      <c r="I13">
        <f>LEN(Sheet1!B13)</f>
        <v>8</v>
      </c>
      <c r="J13" t="str">
        <f>TRIM(Sheet1!C13)</f>
        <v>Horror</v>
      </c>
      <c r="K13" t="str">
        <f>VLOOKUP(Sheet1!A13,Sheet1!A13:I512,3,0)</f>
        <v>Horror</v>
      </c>
      <c r="L13">
        <f>VLOOKUP(Sheet1!B13,Sheet1!B13:I512,3,0)</f>
        <v>66</v>
      </c>
    </row>
    <row r="14" spans="1:14" x14ac:dyDescent="0.25">
      <c r="E14" t="str">
        <f>IF(Sheet1!D14&gt;120,"Long","Short")</f>
        <v>Short</v>
      </c>
      <c r="F14" t="str">
        <f>_xlfn.CONCAT(Sheet1!A14," -",Sheet1!B14)</f>
        <v>M1012 -Movie_12</v>
      </c>
      <c r="G14" t="str">
        <f>LEFT(Sheet1!F14,3)</f>
        <v>Jap</v>
      </c>
      <c r="H14" t="str">
        <f>RIGHT(Sheet1!G14,2)</f>
        <v>09</v>
      </c>
      <c r="I14">
        <f>LEN(Sheet1!B14)</f>
        <v>8</v>
      </c>
      <c r="J14" t="str">
        <f>TRIM(Sheet1!C14)</f>
        <v>Sci-Fi</v>
      </c>
      <c r="K14" t="str">
        <f>VLOOKUP(Sheet1!A14,Sheet1!A14:I513,3,0)</f>
        <v>Sci-Fi</v>
      </c>
      <c r="L14">
        <f>VLOOKUP(Sheet1!B14,Sheet1!B14:I513,3,0)</f>
        <v>109</v>
      </c>
    </row>
    <row r="15" spans="1:14" x14ac:dyDescent="0.25">
      <c r="E15" t="str">
        <f>IF(Sheet1!D15&gt;120,"Long","Short")</f>
        <v>Long</v>
      </c>
      <c r="F15" t="str">
        <f>_xlfn.CONCAT(Sheet1!A15," -",Sheet1!B15)</f>
        <v>M1013 -Movie_13</v>
      </c>
      <c r="G15" t="str">
        <f>LEFT(Sheet1!F15,3)</f>
        <v>Ger</v>
      </c>
      <c r="H15" t="str">
        <f>RIGHT(Sheet1!G15,2)</f>
        <v>93</v>
      </c>
      <c r="I15">
        <f>LEN(Sheet1!B15)</f>
        <v>8</v>
      </c>
      <c r="J15" t="str">
        <f>TRIM(Sheet1!C15)</f>
        <v>Action</v>
      </c>
      <c r="K15" t="str">
        <f>VLOOKUP(Sheet1!A15,Sheet1!A15:I514,3,0)</f>
        <v>Action</v>
      </c>
      <c r="L15">
        <f>VLOOKUP(Sheet1!B15,Sheet1!B15:I514,3,0)</f>
        <v>162</v>
      </c>
    </row>
    <row r="16" spans="1:14" x14ac:dyDescent="0.25">
      <c r="E16" t="str">
        <f>IF(Sheet1!D16&gt;120,"Long","Short")</f>
        <v>Long</v>
      </c>
      <c r="F16" t="str">
        <f>_xlfn.CONCAT(Sheet1!A16," -",Sheet1!B16)</f>
        <v>M1014 -Movie_14</v>
      </c>
      <c r="G16" t="str">
        <f>LEFT(Sheet1!F16,3)</f>
        <v>Spa</v>
      </c>
      <c r="H16" t="str">
        <f>RIGHT(Sheet1!G16,2)</f>
        <v>01</v>
      </c>
      <c r="I16">
        <f>LEN(Sheet1!B16)</f>
        <v>8</v>
      </c>
      <c r="J16" t="str">
        <f>TRIM(Sheet1!C16)</f>
        <v>Sci-Fi</v>
      </c>
      <c r="K16" t="str">
        <f>VLOOKUP(Sheet1!A16,Sheet1!A16:I515,3,0)</f>
        <v>Sci-Fi</v>
      </c>
      <c r="L16">
        <f>VLOOKUP(Sheet1!B16,Sheet1!B16:I515,3,0)</f>
        <v>144</v>
      </c>
    </row>
    <row r="17" spans="5:12" x14ac:dyDescent="0.25">
      <c r="E17" t="str">
        <f>IF(Sheet1!D17&gt;120,"Long","Short")</f>
        <v>Long</v>
      </c>
      <c r="F17" t="str">
        <f>_xlfn.CONCAT(Sheet1!A17," -",Sheet1!B17)</f>
        <v>M1015 -Movie_15</v>
      </c>
      <c r="G17" t="str">
        <f>LEFT(Sheet1!F17,3)</f>
        <v>Hin</v>
      </c>
      <c r="H17" t="str">
        <f>RIGHT(Sheet1!G17,2)</f>
        <v>18</v>
      </c>
      <c r="I17">
        <f>LEN(Sheet1!B17)</f>
        <v>8</v>
      </c>
      <c r="J17" t="str">
        <f>TRIM(Sheet1!C17)</f>
        <v>Thriller</v>
      </c>
      <c r="K17" t="str">
        <f>VLOOKUP(Sheet1!A17,Sheet1!A17:I516,3,0)</f>
        <v>Thriller</v>
      </c>
      <c r="L17">
        <f>VLOOKUP(Sheet1!B17,Sheet1!B17:I516,3,0)</f>
        <v>131</v>
      </c>
    </row>
    <row r="18" spans="5:12" x14ac:dyDescent="0.25">
      <c r="E18" t="str">
        <f>IF(Sheet1!D18&gt;120,"Long","Short")</f>
        <v>Short</v>
      </c>
      <c r="F18" t="str">
        <f>_xlfn.CONCAT(Sheet1!A18," -",Sheet1!B18)</f>
        <v>M1016 -Movie_16</v>
      </c>
      <c r="G18" t="str">
        <f>LEFT(Sheet1!F18,3)</f>
        <v>Jap</v>
      </c>
      <c r="H18" t="str">
        <f>RIGHT(Sheet1!G18,2)</f>
        <v>89</v>
      </c>
      <c r="I18">
        <f>LEN(Sheet1!B18)</f>
        <v>8</v>
      </c>
      <c r="J18" t="str">
        <f>TRIM(Sheet1!C18)</f>
        <v>Action</v>
      </c>
      <c r="K18" t="str">
        <f>VLOOKUP(Sheet1!A18,Sheet1!A18:I517,3,0)</f>
        <v>Action</v>
      </c>
      <c r="L18">
        <f>VLOOKUP(Sheet1!B18,Sheet1!B18:I517,3,0)</f>
        <v>77</v>
      </c>
    </row>
    <row r="19" spans="5:12" x14ac:dyDescent="0.25">
      <c r="E19" t="str">
        <f>IF(Sheet1!D19&gt;120,"Long","Short")</f>
        <v>Long</v>
      </c>
      <c r="F19" t="str">
        <f>_xlfn.CONCAT(Sheet1!A19," -",Sheet1!B19)</f>
        <v>M1017 -Movie_17</v>
      </c>
      <c r="G19" t="str">
        <f>LEFT(Sheet1!F19,3)</f>
        <v>Eng</v>
      </c>
      <c r="H19" t="str">
        <f>RIGHT(Sheet1!G19,2)</f>
        <v>00</v>
      </c>
      <c r="I19">
        <f>LEN(Sheet1!B19)</f>
        <v>8</v>
      </c>
      <c r="J19" t="str">
        <f>TRIM(Sheet1!C19)</f>
        <v>Action</v>
      </c>
      <c r="K19" t="str">
        <f>VLOOKUP(Sheet1!A19,Sheet1!A19:I518,3,0)</f>
        <v>Action</v>
      </c>
      <c r="L19">
        <f>VLOOKUP(Sheet1!B19,Sheet1!B19:I518,3,0)</f>
        <v>131</v>
      </c>
    </row>
    <row r="20" spans="5:12" x14ac:dyDescent="0.25">
      <c r="E20" t="str">
        <f>IF(Sheet1!D20&gt;120,"Long","Short")</f>
        <v>Long</v>
      </c>
      <c r="F20" t="str">
        <f>_xlfn.CONCAT(Sheet1!A20," -",Sheet1!B20)</f>
        <v>M1018 -Movie_18</v>
      </c>
      <c r="G20" t="str">
        <f>LEFT(Sheet1!F20,3)</f>
        <v>Fre</v>
      </c>
      <c r="H20" t="str">
        <f>RIGHT(Sheet1!G20,2)</f>
        <v>25</v>
      </c>
      <c r="I20">
        <f>LEN(Sheet1!B20)</f>
        <v>8</v>
      </c>
      <c r="J20" t="str">
        <f>TRIM(Sheet1!C20)</f>
        <v>Action</v>
      </c>
      <c r="K20" t="str">
        <f>VLOOKUP(Sheet1!A20,Sheet1!A20:I519,3,0)</f>
        <v>Action</v>
      </c>
      <c r="L20">
        <f>VLOOKUP(Sheet1!B20,Sheet1!B20:I519,3,0)</f>
        <v>149</v>
      </c>
    </row>
    <row r="21" spans="5:12" x14ac:dyDescent="0.25">
      <c r="E21" t="str">
        <f>IF(Sheet1!D21&gt;120,"Long","Short")</f>
        <v>Long</v>
      </c>
      <c r="F21" t="str">
        <f>_xlfn.CONCAT(Sheet1!A21," -",Sheet1!B21)</f>
        <v>M1019 -Movie_19</v>
      </c>
      <c r="G21" t="str">
        <f>LEFT(Sheet1!F21,3)</f>
        <v>Hin</v>
      </c>
      <c r="H21" t="str">
        <f>RIGHT(Sheet1!G21,2)</f>
        <v>00</v>
      </c>
      <c r="I21">
        <f>LEN(Sheet1!B21)</f>
        <v>8</v>
      </c>
      <c r="J21" t="str">
        <f>TRIM(Sheet1!C21)</f>
        <v>Comedy</v>
      </c>
      <c r="K21" t="str">
        <f>VLOOKUP(Sheet1!A21,Sheet1!A21:I520,3,0)</f>
        <v>Comedy</v>
      </c>
      <c r="L21">
        <f>VLOOKUP(Sheet1!B21,Sheet1!B21:I520,3,0)</f>
        <v>190</v>
      </c>
    </row>
    <row r="22" spans="5:12" x14ac:dyDescent="0.25">
      <c r="E22" t="str">
        <f>IF(Sheet1!D22&gt;120,"Long","Short")</f>
        <v>Long</v>
      </c>
      <c r="F22" t="str">
        <f>_xlfn.CONCAT(Sheet1!A22," -",Sheet1!B22)</f>
        <v>M1020 -Movie_20</v>
      </c>
      <c r="G22" t="str">
        <f>LEFT(Sheet1!F22,3)</f>
        <v>Ger</v>
      </c>
      <c r="H22" t="str">
        <f>RIGHT(Sheet1!G22,2)</f>
        <v>02</v>
      </c>
      <c r="I22">
        <f>LEN(Sheet1!B22)</f>
        <v>8</v>
      </c>
      <c r="J22" t="str">
        <f>TRIM(Sheet1!C22)</f>
        <v>Comedy</v>
      </c>
      <c r="K22" t="str">
        <f>VLOOKUP(Sheet1!A22,Sheet1!A22:I521,3,0)</f>
        <v>Comedy</v>
      </c>
      <c r="L22">
        <f>VLOOKUP(Sheet1!B22,Sheet1!B22:I521,3,0)</f>
        <v>162</v>
      </c>
    </row>
    <row r="23" spans="5:12" x14ac:dyDescent="0.25">
      <c r="E23" t="str">
        <f>IF(Sheet1!D23&gt;120,"Long","Short")</f>
        <v>Long</v>
      </c>
      <c r="F23" t="str">
        <f>_xlfn.CONCAT(Sheet1!A23," -",Sheet1!B23)</f>
        <v>M1021 -Movie_21</v>
      </c>
      <c r="G23" t="str">
        <f>LEFT(Sheet1!F23,3)</f>
        <v>Jap</v>
      </c>
      <c r="H23" t="str">
        <f>RIGHT(Sheet1!G23,2)</f>
        <v>05</v>
      </c>
      <c r="I23">
        <f>LEN(Sheet1!B23)</f>
        <v>8</v>
      </c>
      <c r="J23" t="str">
        <f>TRIM(Sheet1!C23)</f>
        <v>Sci-Fi</v>
      </c>
      <c r="K23" t="str">
        <f>VLOOKUP(Sheet1!A23,Sheet1!A23:I522,3,0)</f>
        <v>Sci-Fi</v>
      </c>
      <c r="L23">
        <f>VLOOKUP(Sheet1!B23,Sheet1!B23:I522,3,0)</f>
        <v>197</v>
      </c>
    </row>
    <row r="24" spans="5:12" x14ac:dyDescent="0.25">
      <c r="E24" t="str">
        <f>IF(Sheet1!D24&gt;120,"Long","Short")</f>
        <v>Long</v>
      </c>
      <c r="F24" t="str">
        <f>_xlfn.CONCAT(Sheet1!A24," -",Sheet1!B24)</f>
        <v>M1022 -Movie_22</v>
      </c>
      <c r="G24" t="str">
        <f>LEFT(Sheet1!F24,3)</f>
        <v>Fre</v>
      </c>
      <c r="H24" t="str">
        <f>RIGHT(Sheet1!G24,2)</f>
        <v>88</v>
      </c>
      <c r="I24">
        <f>LEN(Sheet1!B24)</f>
        <v>8</v>
      </c>
      <c r="J24" t="str">
        <f>TRIM(Sheet1!C24)</f>
        <v>Sci-Fi</v>
      </c>
      <c r="K24" t="str">
        <f>VLOOKUP(Sheet1!A24,Sheet1!A24:I523,3,0)</f>
        <v>Sci-Fi</v>
      </c>
      <c r="L24">
        <f>VLOOKUP(Sheet1!B24,Sheet1!B24:I523,3,0)</f>
        <v>144</v>
      </c>
    </row>
    <row r="25" spans="5:12" x14ac:dyDescent="0.25">
      <c r="E25" t="str">
        <f>IF(Sheet1!D25&gt;120,"Long","Short")</f>
        <v>Short</v>
      </c>
      <c r="F25" t="str">
        <f>_xlfn.CONCAT(Sheet1!A25," -",Sheet1!B25)</f>
        <v>M1023 -Movie_23</v>
      </c>
      <c r="G25" t="str">
        <f>LEFT(Sheet1!F25,3)</f>
        <v>Spa</v>
      </c>
      <c r="H25" t="str">
        <f>RIGHT(Sheet1!G25,2)</f>
        <v>03</v>
      </c>
      <c r="I25">
        <f>LEN(Sheet1!B25)</f>
        <v>8</v>
      </c>
      <c r="J25" t="str">
        <f>TRIM(Sheet1!C25)</f>
        <v>Action</v>
      </c>
      <c r="K25" t="str">
        <f>VLOOKUP(Sheet1!A25,Sheet1!A25:I524,3,0)</f>
        <v>Action</v>
      </c>
      <c r="L25">
        <f>VLOOKUP(Sheet1!B25,Sheet1!B25:I524,3,0)</f>
        <v>67</v>
      </c>
    </row>
    <row r="26" spans="5:12" x14ac:dyDescent="0.25">
      <c r="E26" t="str">
        <f>IF(Sheet1!D26&gt;120,"Long","Short")</f>
        <v>Short</v>
      </c>
      <c r="F26" t="str">
        <f>_xlfn.CONCAT(Sheet1!A26," -",Sheet1!B26)</f>
        <v>M1024 -Movie_24</v>
      </c>
      <c r="G26" t="str">
        <f>LEFT(Sheet1!F26,3)</f>
        <v>Jap</v>
      </c>
      <c r="H26" t="str">
        <f>RIGHT(Sheet1!G26,2)</f>
        <v>12</v>
      </c>
      <c r="I26">
        <f>LEN(Sheet1!B26)</f>
        <v>8</v>
      </c>
      <c r="J26" t="str">
        <f>TRIM(Sheet1!C26)</f>
        <v>Sci-Fi</v>
      </c>
      <c r="K26" t="str">
        <f>VLOOKUP(Sheet1!A26,Sheet1!A26:I525,3,0)</f>
        <v>Sci-Fi</v>
      </c>
      <c r="L26">
        <f>VLOOKUP(Sheet1!B26,Sheet1!B26:I525,3,0)</f>
        <v>89</v>
      </c>
    </row>
    <row r="27" spans="5:12" x14ac:dyDescent="0.25">
      <c r="E27" t="str">
        <f>IF(Sheet1!D27&gt;120,"Long","Short")</f>
        <v>Long</v>
      </c>
      <c r="F27" t="str">
        <f>_xlfn.CONCAT(Sheet1!A27," -",Sheet1!B27)</f>
        <v>M1025 -Movie_25</v>
      </c>
      <c r="G27" t="str">
        <f>LEFT(Sheet1!F27,3)</f>
        <v>Jap</v>
      </c>
      <c r="H27" t="str">
        <f>RIGHT(Sheet1!G27,2)</f>
        <v>15</v>
      </c>
      <c r="I27">
        <f>LEN(Sheet1!B27)</f>
        <v>8</v>
      </c>
      <c r="J27" t="str">
        <f>TRIM(Sheet1!C27)</f>
        <v>Comedy</v>
      </c>
      <c r="K27" t="str">
        <f>VLOOKUP(Sheet1!A27,Sheet1!A27:I526,3,0)</f>
        <v>Comedy</v>
      </c>
      <c r="L27">
        <f>VLOOKUP(Sheet1!B27,Sheet1!B27:I526,3,0)</f>
        <v>126</v>
      </c>
    </row>
    <row r="28" spans="5:12" x14ac:dyDescent="0.25">
      <c r="E28" t="str">
        <f>IF(Sheet1!D28&gt;120,"Long","Short")</f>
        <v>Short</v>
      </c>
      <c r="F28" t="str">
        <f>_xlfn.CONCAT(Sheet1!A28," -",Sheet1!B28)</f>
        <v>M1026 -Movie_26</v>
      </c>
      <c r="G28" t="str">
        <f>LEFT(Sheet1!F28,3)</f>
        <v>Jap</v>
      </c>
      <c r="H28" t="str">
        <f>RIGHT(Sheet1!G28,2)</f>
        <v>86</v>
      </c>
      <c r="I28">
        <f>LEN(Sheet1!B28)</f>
        <v>8</v>
      </c>
      <c r="J28" t="str">
        <f>TRIM(Sheet1!C28)</f>
        <v>Horror</v>
      </c>
      <c r="K28" t="str">
        <f>VLOOKUP(Sheet1!A28,Sheet1!A28:I527,3,0)</f>
        <v>Horror</v>
      </c>
      <c r="L28">
        <f>VLOOKUP(Sheet1!B28,Sheet1!B28:I527,3,0)</f>
        <v>105</v>
      </c>
    </row>
    <row r="29" spans="5:12" x14ac:dyDescent="0.25">
      <c r="E29" t="str">
        <f>IF(Sheet1!D29&gt;120,"Long","Short")</f>
        <v>Long</v>
      </c>
      <c r="F29" t="str">
        <f>_xlfn.CONCAT(Sheet1!A29," -",Sheet1!B29)</f>
        <v>M1027 -Movie_27</v>
      </c>
      <c r="G29" t="str">
        <f>LEFT(Sheet1!F29,3)</f>
        <v>Jap</v>
      </c>
      <c r="H29" t="str">
        <f>RIGHT(Sheet1!G29,2)</f>
        <v>00</v>
      </c>
      <c r="I29">
        <f>LEN(Sheet1!B29)</f>
        <v>8</v>
      </c>
      <c r="J29" t="str">
        <f>TRIM(Sheet1!C29)</f>
        <v>Horror</v>
      </c>
      <c r="K29" t="str">
        <f>VLOOKUP(Sheet1!A29,Sheet1!A29:I528,3,0)</f>
        <v>Horror</v>
      </c>
      <c r="L29">
        <f>VLOOKUP(Sheet1!B29,Sheet1!B29:I528,3,0)</f>
        <v>127</v>
      </c>
    </row>
    <row r="30" spans="5:12" x14ac:dyDescent="0.25">
      <c r="E30" t="str">
        <f>IF(Sheet1!D30&gt;120,"Long","Short")</f>
        <v>Short</v>
      </c>
      <c r="F30" t="str">
        <f>_xlfn.CONCAT(Sheet1!A30," -",Sheet1!B30)</f>
        <v>M1028 -Movie_28</v>
      </c>
      <c r="G30" t="str">
        <f>LEFT(Sheet1!F30,3)</f>
        <v>Hin</v>
      </c>
      <c r="H30" t="str">
        <f>RIGHT(Sheet1!G30,2)</f>
        <v>95</v>
      </c>
      <c r="I30">
        <f>LEN(Sheet1!B30)</f>
        <v>8</v>
      </c>
      <c r="J30" t="str">
        <f>TRIM(Sheet1!C30)</f>
        <v>Horror</v>
      </c>
      <c r="K30" t="str">
        <f>VLOOKUP(Sheet1!A30,Sheet1!A30:I529,3,0)</f>
        <v>Horror</v>
      </c>
      <c r="L30">
        <f>VLOOKUP(Sheet1!B30,Sheet1!B30:I529,3,0)</f>
        <v>69</v>
      </c>
    </row>
    <row r="31" spans="5:12" x14ac:dyDescent="0.25">
      <c r="E31" t="str">
        <f>IF(Sheet1!D31&gt;120,"Long","Short")</f>
        <v>Short</v>
      </c>
      <c r="F31" t="str">
        <f>_xlfn.CONCAT(Sheet1!A31," -",Sheet1!B31)</f>
        <v>M1029 -Movie_29</v>
      </c>
      <c r="G31" t="str">
        <f>LEFT(Sheet1!F31,3)</f>
        <v>Eng</v>
      </c>
      <c r="H31" t="str">
        <f>RIGHT(Sheet1!G31,2)</f>
        <v>09</v>
      </c>
      <c r="I31">
        <f>LEN(Sheet1!B31)</f>
        <v>8</v>
      </c>
      <c r="J31" t="str">
        <f>TRIM(Sheet1!C31)</f>
        <v>Sci-Fi</v>
      </c>
      <c r="K31" t="str">
        <f>VLOOKUP(Sheet1!A31,Sheet1!A31:I530,3,0)</f>
        <v>Sci-Fi</v>
      </c>
      <c r="L31">
        <f>VLOOKUP(Sheet1!B31,Sheet1!B31:I530,3,0)</f>
        <v>87</v>
      </c>
    </row>
    <row r="32" spans="5:12" x14ac:dyDescent="0.25">
      <c r="E32" t="str">
        <f>IF(Sheet1!D32&gt;120,"Long","Short")</f>
        <v>Long</v>
      </c>
      <c r="F32" t="str">
        <f>_xlfn.CONCAT(Sheet1!A32," -",Sheet1!B32)</f>
        <v>M1030 -Movie_30</v>
      </c>
      <c r="G32" t="str">
        <f>LEFT(Sheet1!F32,3)</f>
        <v>Jap</v>
      </c>
      <c r="H32" t="str">
        <f>RIGHT(Sheet1!G32,2)</f>
        <v>87</v>
      </c>
      <c r="I32">
        <f>LEN(Sheet1!B32)</f>
        <v>8</v>
      </c>
      <c r="J32" t="str">
        <f>TRIM(Sheet1!C32)</f>
        <v>Thriller</v>
      </c>
      <c r="K32" t="str">
        <f>VLOOKUP(Sheet1!A32,Sheet1!A32:I531,3,0)</f>
        <v>Thriller</v>
      </c>
      <c r="L32">
        <f>VLOOKUP(Sheet1!B32,Sheet1!B32:I531,3,0)</f>
        <v>171</v>
      </c>
    </row>
    <row r="33" spans="5:12" x14ac:dyDescent="0.25">
      <c r="E33" t="str">
        <f>IF(Sheet1!D33&gt;120,"Long","Short")</f>
        <v>Long</v>
      </c>
      <c r="F33" t="str">
        <f>_xlfn.CONCAT(Sheet1!A33," -",Sheet1!B33)</f>
        <v>M1031 -Movie_31</v>
      </c>
      <c r="G33" t="str">
        <f>LEFT(Sheet1!F33,3)</f>
        <v>Jap</v>
      </c>
      <c r="H33" t="str">
        <f>RIGHT(Sheet1!G33,2)</f>
        <v>97</v>
      </c>
      <c r="I33">
        <f>LEN(Sheet1!B33)</f>
        <v>8</v>
      </c>
      <c r="J33" t="str">
        <f>TRIM(Sheet1!C33)</f>
        <v>Comedy</v>
      </c>
      <c r="K33" t="str">
        <f>VLOOKUP(Sheet1!A33,Sheet1!A33:I532,3,0)</f>
        <v>Comedy</v>
      </c>
      <c r="L33">
        <f>VLOOKUP(Sheet1!B33,Sheet1!B33:I532,3,0)</f>
        <v>148</v>
      </c>
    </row>
    <row r="34" spans="5:12" x14ac:dyDescent="0.25">
      <c r="E34" t="str">
        <f>IF(Sheet1!D34&gt;120,"Long","Short")</f>
        <v>Long</v>
      </c>
      <c r="F34" t="str">
        <f>_xlfn.CONCAT(Sheet1!A34," -",Sheet1!B34)</f>
        <v>M1032 -Movie_32</v>
      </c>
      <c r="G34" t="str">
        <f>LEFT(Sheet1!F34,3)</f>
        <v>Ger</v>
      </c>
      <c r="H34" t="str">
        <f>RIGHT(Sheet1!G34,2)</f>
        <v>08</v>
      </c>
      <c r="I34">
        <f>LEN(Sheet1!B34)</f>
        <v>8</v>
      </c>
      <c r="J34" t="str">
        <f>TRIM(Sheet1!C34)</f>
        <v>Thriller</v>
      </c>
      <c r="K34" t="str">
        <f>VLOOKUP(Sheet1!A34,Sheet1!A34:I533,3,0)</f>
        <v>Thriller</v>
      </c>
      <c r="L34">
        <f>VLOOKUP(Sheet1!B34,Sheet1!B34:I533,3,0)</f>
        <v>140</v>
      </c>
    </row>
    <row r="35" spans="5:12" x14ac:dyDescent="0.25">
      <c r="E35" t="str">
        <f>IF(Sheet1!D35&gt;120,"Long","Short")</f>
        <v>Long</v>
      </c>
      <c r="F35" t="str">
        <f>_xlfn.CONCAT(Sheet1!A35," -",Sheet1!B35)</f>
        <v>M1033 -Movie_33</v>
      </c>
      <c r="G35" t="str">
        <f>LEFT(Sheet1!F35,3)</f>
        <v>Hin</v>
      </c>
      <c r="H35" t="str">
        <f>RIGHT(Sheet1!G35,2)</f>
        <v>95</v>
      </c>
      <c r="I35">
        <f>LEN(Sheet1!B35)</f>
        <v>8</v>
      </c>
      <c r="J35" t="str">
        <f>TRIM(Sheet1!C35)</f>
        <v>Sci-Fi</v>
      </c>
      <c r="K35" t="str">
        <f>VLOOKUP(Sheet1!A35,Sheet1!A35:I534,3,0)</f>
        <v>Sci-Fi</v>
      </c>
      <c r="L35">
        <f>VLOOKUP(Sheet1!B35,Sheet1!B35:I534,3,0)</f>
        <v>171</v>
      </c>
    </row>
    <row r="36" spans="5:12" x14ac:dyDescent="0.25">
      <c r="E36" t="str">
        <f>IF(Sheet1!D36&gt;120,"Long","Short")</f>
        <v>Long</v>
      </c>
      <c r="F36" t="str">
        <f>_xlfn.CONCAT(Sheet1!A36," -",Sheet1!B36)</f>
        <v>M1034 -Movie_34</v>
      </c>
      <c r="G36" t="str">
        <f>LEFT(Sheet1!F36,3)</f>
        <v>Fre</v>
      </c>
      <c r="H36" t="str">
        <f>RIGHT(Sheet1!G36,2)</f>
        <v>89</v>
      </c>
      <c r="I36">
        <f>LEN(Sheet1!B36)</f>
        <v>8</v>
      </c>
      <c r="J36" t="str">
        <f>TRIM(Sheet1!C36)</f>
        <v>Drama</v>
      </c>
      <c r="K36" t="str">
        <f>VLOOKUP(Sheet1!A36,Sheet1!A36:I535,3,0)</f>
        <v>Drama</v>
      </c>
      <c r="L36">
        <f>VLOOKUP(Sheet1!B36,Sheet1!B36:I535,3,0)</f>
        <v>190</v>
      </c>
    </row>
    <row r="37" spans="5:12" x14ac:dyDescent="0.25">
      <c r="E37" t="str">
        <f>IF(Sheet1!D37&gt;120,"Long","Short")</f>
        <v>Short</v>
      </c>
      <c r="F37" t="str">
        <f>_xlfn.CONCAT(Sheet1!A37," -",Sheet1!B37)</f>
        <v>M1035 -Movie_35</v>
      </c>
      <c r="G37" t="str">
        <f>LEFT(Sheet1!F37,3)</f>
        <v>Eng</v>
      </c>
      <c r="H37" t="str">
        <f>RIGHT(Sheet1!G37,2)</f>
        <v>86</v>
      </c>
      <c r="I37">
        <f>LEN(Sheet1!B37)</f>
        <v>8</v>
      </c>
      <c r="J37" t="str">
        <f>TRIM(Sheet1!C37)</f>
        <v>Action</v>
      </c>
      <c r="K37" t="str">
        <f>VLOOKUP(Sheet1!A37,Sheet1!A37:I536,3,0)</f>
        <v>Action</v>
      </c>
      <c r="L37">
        <f>VLOOKUP(Sheet1!B37,Sheet1!B37:I536,3,0)</f>
        <v>89</v>
      </c>
    </row>
    <row r="38" spans="5:12" x14ac:dyDescent="0.25">
      <c r="E38" t="str">
        <f>IF(Sheet1!D38&gt;120,"Long","Short")</f>
        <v>Long</v>
      </c>
      <c r="F38" t="str">
        <f>_xlfn.CONCAT(Sheet1!A38," -",Sheet1!B38)</f>
        <v>M1036 -Movie_36</v>
      </c>
      <c r="G38" t="str">
        <f>LEFT(Sheet1!F38,3)</f>
        <v>Fre</v>
      </c>
      <c r="H38" t="str">
        <f>RIGHT(Sheet1!G38,2)</f>
        <v>83</v>
      </c>
      <c r="I38">
        <f>LEN(Sheet1!B38)</f>
        <v>8</v>
      </c>
      <c r="J38" t="str">
        <f>TRIM(Sheet1!C38)</f>
        <v>Comedy</v>
      </c>
      <c r="K38" t="str">
        <f>VLOOKUP(Sheet1!A38,Sheet1!A38:I537,3,0)</f>
        <v>Comedy</v>
      </c>
      <c r="L38">
        <f>VLOOKUP(Sheet1!B38,Sheet1!B38:I537,3,0)</f>
        <v>158</v>
      </c>
    </row>
    <row r="39" spans="5:12" x14ac:dyDescent="0.25">
      <c r="E39" t="str">
        <f>IF(Sheet1!D39&gt;120,"Long","Short")</f>
        <v>Short</v>
      </c>
      <c r="F39" t="str">
        <f>_xlfn.CONCAT(Sheet1!A39," -",Sheet1!B39)</f>
        <v>M1037 -Movie_37</v>
      </c>
      <c r="G39" t="str">
        <f>LEFT(Sheet1!F39,3)</f>
        <v>Fre</v>
      </c>
      <c r="H39" t="str">
        <f>RIGHT(Sheet1!G39,2)</f>
        <v>98</v>
      </c>
      <c r="I39">
        <f>LEN(Sheet1!B39)</f>
        <v>8</v>
      </c>
      <c r="J39" t="str">
        <f>TRIM(Sheet1!C39)</f>
        <v>Horror</v>
      </c>
      <c r="K39" t="str">
        <f>VLOOKUP(Sheet1!A39,Sheet1!A39:I538,3,0)</f>
        <v>Horror</v>
      </c>
      <c r="L39">
        <f>VLOOKUP(Sheet1!B39,Sheet1!B39:I538,3,0)</f>
        <v>108</v>
      </c>
    </row>
    <row r="40" spans="5:12" x14ac:dyDescent="0.25">
      <c r="E40" t="str">
        <f>IF(Sheet1!D40&gt;120,"Long","Short")</f>
        <v>Long</v>
      </c>
      <c r="F40" t="str">
        <f>_xlfn.CONCAT(Sheet1!A40," -",Sheet1!B40)</f>
        <v>M1038 -Movie_38</v>
      </c>
      <c r="G40" t="str">
        <f>LEFT(Sheet1!F40,3)</f>
        <v>Spa</v>
      </c>
      <c r="H40" t="str">
        <f>RIGHT(Sheet1!G40,2)</f>
        <v>04</v>
      </c>
      <c r="I40">
        <f>LEN(Sheet1!B40)</f>
        <v>8</v>
      </c>
      <c r="J40" t="str">
        <f>TRIM(Sheet1!C40)</f>
        <v>Thriller</v>
      </c>
      <c r="K40" t="str">
        <f>VLOOKUP(Sheet1!A40,Sheet1!A40:I539,3,0)</f>
        <v>Thriller</v>
      </c>
      <c r="L40">
        <f>VLOOKUP(Sheet1!B40,Sheet1!B40:I539,3,0)</f>
        <v>125</v>
      </c>
    </row>
    <row r="41" spans="5:12" x14ac:dyDescent="0.25">
      <c r="E41" t="str">
        <f>IF(Sheet1!D41&gt;120,"Long","Short")</f>
        <v>Short</v>
      </c>
      <c r="F41" t="str">
        <f>_xlfn.CONCAT(Sheet1!A41," -",Sheet1!B41)</f>
        <v>M1039 -Movie_39</v>
      </c>
      <c r="G41" t="str">
        <f>LEFT(Sheet1!F41,3)</f>
        <v>Spa</v>
      </c>
      <c r="H41" t="str">
        <f>RIGHT(Sheet1!G41,2)</f>
        <v>19</v>
      </c>
      <c r="I41">
        <f>LEN(Sheet1!B41)</f>
        <v>8</v>
      </c>
      <c r="J41" t="str">
        <f>TRIM(Sheet1!C41)</f>
        <v>Drama</v>
      </c>
      <c r="K41" t="str">
        <f>VLOOKUP(Sheet1!A41,Sheet1!A41:I540,3,0)</f>
        <v>Drama</v>
      </c>
      <c r="L41">
        <f>VLOOKUP(Sheet1!B41,Sheet1!B41:I540,3,0)</f>
        <v>71</v>
      </c>
    </row>
    <row r="42" spans="5:12" x14ac:dyDescent="0.25">
      <c r="E42" t="str">
        <f>IF(Sheet1!D42&gt;120,"Long","Short")</f>
        <v>Long</v>
      </c>
      <c r="F42" t="str">
        <f>_xlfn.CONCAT(Sheet1!A42," -",Sheet1!B42)</f>
        <v>M1040 -Movie_40</v>
      </c>
      <c r="G42" t="str">
        <f>LEFT(Sheet1!F42,3)</f>
        <v>Fre</v>
      </c>
      <c r="H42" t="str">
        <f>RIGHT(Sheet1!G42,2)</f>
        <v>06</v>
      </c>
      <c r="I42">
        <f>LEN(Sheet1!B42)</f>
        <v>8</v>
      </c>
      <c r="J42" t="str">
        <f>TRIM(Sheet1!C42)</f>
        <v>Drama</v>
      </c>
      <c r="K42" t="str">
        <f>VLOOKUP(Sheet1!A42,Sheet1!A42:I541,3,0)</f>
        <v>Drama</v>
      </c>
      <c r="L42">
        <f>VLOOKUP(Sheet1!B42,Sheet1!B42:I541,3,0)</f>
        <v>171</v>
      </c>
    </row>
    <row r="43" spans="5:12" x14ac:dyDescent="0.25">
      <c r="E43" t="str">
        <f>IF(Sheet1!D43&gt;120,"Long","Short")</f>
        <v>Short</v>
      </c>
      <c r="F43" t="str">
        <f>_xlfn.CONCAT(Sheet1!A43," -",Sheet1!B43)</f>
        <v>M1041 -Movie_41</v>
      </c>
      <c r="G43" t="str">
        <f>LEFT(Sheet1!F43,3)</f>
        <v>Ger</v>
      </c>
      <c r="H43" t="str">
        <f>RIGHT(Sheet1!G43,2)</f>
        <v>95</v>
      </c>
      <c r="I43">
        <f>LEN(Sheet1!B43)</f>
        <v>8</v>
      </c>
      <c r="J43" t="str">
        <f>TRIM(Sheet1!C43)</f>
        <v>Comedy</v>
      </c>
      <c r="K43" t="str">
        <f>VLOOKUP(Sheet1!A43,Sheet1!A43:I542,3,0)</f>
        <v>Comedy</v>
      </c>
      <c r="L43">
        <f>VLOOKUP(Sheet1!B43,Sheet1!B43:I542,3,0)</f>
        <v>60</v>
      </c>
    </row>
    <row r="44" spans="5:12" x14ac:dyDescent="0.25">
      <c r="E44" t="str">
        <f>IF(Sheet1!D44&gt;120,"Long","Short")</f>
        <v>Long</v>
      </c>
      <c r="F44" t="str">
        <f>_xlfn.CONCAT(Sheet1!A44," -",Sheet1!B44)</f>
        <v>M1042 -Movie_42</v>
      </c>
      <c r="G44" t="str">
        <f>LEFT(Sheet1!F44,3)</f>
        <v>Spa</v>
      </c>
      <c r="H44" t="str">
        <f>RIGHT(Sheet1!G44,2)</f>
        <v>90</v>
      </c>
      <c r="I44">
        <f>LEN(Sheet1!B44)</f>
        <v>8</v>
      </c>
      <c r="J44" t="str">
        <f>TRIM(Sheet1!C44)</f>
        <v>Comedy</v>
      </c>
      <c r="K44" t="str">
        <f>VLOOKUP(Sheet1!A44,Sheet1!A44:I543,3,0)</f>
        <v>Comedy</v>
      </c>
      <c r="L44">
        <f>VLOOKUP(Sheet1!B44,Sheet1!B44:I543,3,0)</f>
        <v>193</v>
      </c>
    </row>
    <row r="45" spans="5:12" x14ac:dyDescent="0.25">
      <c r="E45" t="str">
        <f>IF(Sheet1!D45&gt;120,"Long","Short")</f>
        <v>Long</v>
      </c>
      <c r="F45" t="str">
        <f>_xlfn.CONCAT(Sheet1!A45," -",Sheet1!B45)</f>
        <v>M1043 -Movie_43</v>
      </c>
      <c r="G45" t="str">
        <f>LEFT(Sheet1!F45,3)</f>
        <v>Spa</v>
      </c>
      <c r="H45" t="str">
        <f>RIGHT(Sheet1!G45,2)</f>
        <v>00</v>
      </c>
      <c r="I45">
        <f>LEN(Sheet1!B45)</f>
        <v>8</v>
      </c>
      <c r="J45" t="str">
        <f>TRIM(Sheet1!C45)</f>
        <v>Drama</v>
      </c>
      <c r="K45" t="str">
        <f>VLOOKUP(Sheet1!A45,Sheet1!A45:I544,3,0)</f>
        <v>Drama</v>
      </c>
      <c r="L45">
        <f>VLOOKUP(Sheet1!B45,Sheet1!B45:I544,3,0)</f>
        <v>197</v>
      </c>
    </row>
    <row r="46" spans="5:12" x14ac:dyDescent="0.25">
      <c r="E46" t="str">
        <f>IF(Sheet1!D46&gt;120,"Long","Short")</f>
        <v>Short</v>
      </c>
      <c r="F46" t="str">
        <f>_xlfn.CONCAT(Sheet1!A46," -",Sheet1!B46)</f>
        <v>M1044 -Movie_44</v>
      </c>
      <c r="G46" t="str">
        <f>LEFT(Sheet1!F46,3)</f>
        <v>Spa</v>
      </c>
      <c r="H46" t="str">
        <f>RIGHT(Sheet1!G46,2)</f>
        <v>16</v>
      </c>
      <c r="I46">
        <f>LEN(Sheet1!B46)</f>
        <v>8</v>
      </c>
      <c r="J46" t="str">
        <f>TRIM(Sheet1!C46)</f>
        <v>Action</v>
      </c>
      <c r="K46" t="str">
        <f>VLOOKUP(Sheet1!A46,Sheet1!A46:I545,3,0)</f>
        <v>Action</v>
      </c>
      <c r="L46">
        <f>VLOOKUP(Sheet1!B46,Sheet1!B46:I545,3,0)</f>
        <v>110</v>
      </c>
    </row>
    <row r="47" spans="5:12" x14ac:dyDescent="0.25">
      <c r="E47" t="str">
        <f>IF(Sheet1!D47&gt;120,"Long","Short")</f>
        <v>Long</v>
      </c>
      <c r="F47" t="str">
        <f>_xlfn.CONCAT(Sheet1!A47," -",Sheet1!B47)</f>
        <v>M1045 -Movie_45</v>
      </c>
      <c r="G47" t="str">
        <f>LEFT(Sheet1!F47,3)</f>
        <v>Spa</v>
      </c>
      <c r="H47" t="str">
        <f>RIGHT(Sheet1!G47,2)</f>
        <v>00</v>
      </c>
      <c r="I47">
        <f>LEN(Sheet1!B47)</f>
        <v>8</v>
      </c>
      <c r="J47" t="str">
        <f>TRIM(Sheet1!C47)</f>
        <v>Action</v>
      </c>
      <c r="K47" t="str">
        <f>VLOOKUP(Sheet1!A47,Sheet1!A47:I546,3,0)</f>
        <v>Action</v>
      </c>
      <c r="L47">
        <f>VLOOKUP(Sheet1!B47,Sheet1!B47:I546,3,0)</f>
        <v>153</v>
      </c>
    </row>
    <row r="48" spans="5:12" x14ac:dyDescent="0.25">
      <c r="E48" t="str">
        <f>IF(Sheet1!D48&gt;120,"Long","Short")</f>
        <v>Long</v>
      </c>
      <c r="F48" t="str">
        <f>_xlfn.CONCAT(Sheet1!A48," -",Sheet1!B48)</f>
        <v>M1046 -Movie_46</v>
      </c>
      <c r="G48" t="str">
        <f>LEFT(Sheet1!F48,3)</f>
        <v>Eng</v>
      </c>
      <c r="H48" t="str">
        <f>RIGHT(Sheet1!G48,2)</f>
        <v>92</v>
      </c>
      <c r="I48">
        <f>LEN(Sheet1!B48)</f>
        <v>8</v>
      </c>
      <c r="J48" t="str">
        <f>TRIM(Sheet1!C48)</f>
        <v>Thriller</v>
      </c>
      <c r="K48" t="str">
        <f>VLOOKUP(Sheet1!A48,Sheet1!A48:I547,3,0)</f>
        <v>Thriller</v>
      </c>
      <c r="L48">
        <f>VLOOKUP(Sheet1!B48,Sheet1!B48:I547,3,0)</f>
        <v>170</v>
      </c>
    </row>
    <row r="49" spans="5:12" x14ac:dyDescent="0.25">
      <c r="E49" t="str">
        <f>IF(Sheet1!D49&gt;120,"Long","Short")</f>
        <v>Short</v>
      </c>
      <c r="F49" t="str">
        <f>_xlfn.CONCAT(Sheet1!A49," -",Sheet1!B49)</f>
        <v>M1047 -Movie_47</v>
      </c>
      <c r="G49" t="str">
        <f>LEFT(Sheet1!F49,3)</f>
        <v>Fre</v>
      </c>
      <c r="H49" t="str">
        <f>RIGHT(Sheet1!G49,2)</f>
        <v>90</v>
      </c>
      <c r="I49">
        <f>LEN(Sheet1!B49)</f>
        <v>8</v>
      </c>
      <c r="J49" t="str">
        <f>TRIM(Sheet1!C49)</f>
        <v>Action</v>
      </c>
      <c r="K49" t="str">
        <f>VLOOKUP(Sheet1!A49,Sheet1!A49:I548,3,0)</f>
        <v>Action</v>
      </c>
      <c r="L49">
        <f>VLOOKUP(Sheet1!B49,Sheet1!B49:I548,3,0)</f>
        <v>77</v>
      </c>
    </row>
    <row r="50" spans="5:12" x14ac:dyDescent="0.25">
      <c r="E50" t="str">
        <f>IF(Sheet1!D50&gt;120,"Long","Short")</f>
        <v>Long</v>
      </c>
      <c r="F50" t="str">
        <f>_xlfn.CONCAT(Sheet1!A50," -",Sheet1!B50)</f>
        <v>M1048 -Movie_48</v>
      </c>
      <c r="G50" t="str">
        <f>LEFT(Sheet1!F50,3)</f>
        <v>Eng</v>
      </c>
      <c r="H50" t="str">
        <f>RIGHT(Sheet1!G50,2)</f>
        <v>11</v>
      </c>
      <c r="I50">
        <f>LEN(Sheet1!B50)</f>
        <v>8</v>
      </c>
      <c r="J50" t="str">
        <f>TRIM(Sheet1!C50)</f>
        <v>Drama</v>
      </c>
      <c r="K50" t="str">
        <f>VLOOKUP(Sheet1!A50,Sheet1!A50:I549,3,0)</f>
        <v>Drama</v>
      </c>
      <c r="L50">
        <f>VLOOKUP(Sheet1!B50,Sheet1!B50:I549,3,0)</f>
        <v>144</v>
      </c>
    </row>
    <row r="51" spans="5:12" x14ac:dyDescent="0.25">
      <c r="E51" t="str">
        <f>IF(Sheet1!D51&gt;120,"Long","Short")</f>
        <v>Long</v>
      </c>
      <c r="F51" t="str">
        <f>_xlfn.CONCAT(Sheet1!A51," -",Sheet1!B51)</f>
        <v>M1049 -Movie_49</v>
      </c>
      <c r="G51" t="str">
        <f>LEFT(Sheet1!F51,3)</f>
        <v>Hin</v>
      </c>
      <c r="H51" t="str">
        <f>RIGHT(Sheet1!G51,2)</f>
        <v>12</v>
      </c>
      <c r="I51">
        <f>LEN(Sheet1!B51)</f>
        <v>8</v>
      </c>
      <c r="J51" t="str">
        <f>TRIM(Sheet1!C51)</f>
        <v>Drama</v>
      </c>
      <c r="K51" t="str">
        <f>VLOOKUP(Sheet1!A51,Sheet1!A51:I550,3,0)</f>
        <v>Drama</v>
      </c>
      <c r="L51">
        <f>VLOOKUP(Sheet1!B51,Sheet1!B51:I550,3,0)</f>
        <v>140</v>
      </c>
    </row>
    <row r="52" spans="5:12" x14ac:dyDescent="0.25">
      <c r="E52" t="str">
        <f>IF(Sheet1!D52&gt;120,"Long","Short")</f>
        <v>Short</v>
      </c>
      <c r="F52" t="str">
        <f>_xlfn.CONCAT(Sheet1!A52," -",Sheet1!B52)</f>
        <v>M1050 -Movie_50</v>
      </c>
      <c r="G52" t="str">
        <f>LEFT(Sheet1!F52,3)</f>
        <v>Hin</v>
      </c>
      <c r="H52" t="str">
        <f>RIGHT(Sheet1!G52,2)</f>
        <v>09</v>
      </c>
      <c r="I52">
        <f>LEN(Sheet1!B52)</f>
        <v>8</v>
      </c>
      <c r="J52" t="str">
        <f>TRIM(Sheet1!C52)</f>
        <v>Sci-Fi</v>
      </c>
      <c r="K52" t="str">
        <f>VLOOKUP(Sheet1!A52,Sheet1!A52:I551,3,0)</f>
        <v>Sci-Fi</v>
      </c>
      <c r="L52">
        <f>VLOOKUP(Sheet1!B52,Sheet1!B52:I551,3,0)</f>
        <v>91</v>
      </c>
    </row>
    <row r="53" spans="5:12" x14ac:dyDescent="0.25">
      <c r="E53" t="str">
        <f>IF(Sheet1!D53&gt;120,"Long","Short")</f>
        <v>Long</v>
      </c>
      <c r="F53" t="str">
        <f>_xlfn.CONCAT(Sheet1!A53," -",Sheet1!B53)</f>
        <v>M1051 -Movie_51</v>
      </c>
      <c r="G53" t="str">
        <f>LEFT(Sheet1!F53,3)</f>
        <v>Jap</v>
      </c>
      <c r="H53" t="str">
        <f>RIGHT(Sheet1!G53,2)</f>
        <v>11</v>
      </c>
      <c r="I53">
        <f>LEN(Sheet1!B53)</f>
        <v>8</v>
      </c>
      <c r="J53" t="str">
        <f>TRIM(Sheet1!C53)</f>
        <v>Drama</v>
      </c>
      <c r="K53" t="str">
        <f>VLOOKUP(Sheet1!A53,Sheet1!A53:I552,3,0)</f>
        <v>Drama</v>
      </c>
      <c r="L53">
        <f>VLOOKUP(Sheet1!B53,Sheet1!B53:I552,3,0)</f>
        <v>136</v>
      </c>
    </row>
    <row r="54" spans="5:12" x14ac:dyDescent="0.25">
      <c r="E54" t="str">
        <f>IF(Sheet1!D54&gt;120,"Long","Short")</f>
        <v>Long</v>
      </c>
      <c r="F54" t="str">
        <f>_xlfn.CONCAT(Sheet1!A54," -",Sheet1!B54)</f>
        <v>M1052 -Movie_52</v>
      </c>
      <c r="G54" t="str">
        <f>LEFT(Sheet1!F54,3)</f>
        <v>Hin</v>
      </c>
      <c r="H54" t="str">
        <f>RIGHT(Sheet1!G54,2)</f>
        <v>99</v>
      </c>
      <c r="I54">
        <f>LEN(Sheet1!B54)</f>
        <v>8</v>
      </c>
      <c r="J54" t="str">
        <f>TRIM(Sheet1!C54)</f>
        <v>Action</v>
      </c>
      <c r="K54" t="str">
        <f>VLOOKUP(Sheet1!A54,Sheet1!A54:I553,3,0)</f>
        <v>Action</v>
      </c>
      <c r="L54">
        <f>VLOOKUP(Sheet1!B54,Sheet1!B54:I553,3,0)</f>
        <v>189</v>
      </c>
    </row>
    <row r="55" spans="5:12" x14ac:dyDescent="0.25">
      <c r="E55" t="str">
        <f>IF(Sheet1!D55&gt;120,"Long","Short")</f>
        <v>Long</v>
      </c>
      <c r="F55" t="str">
        <f>_xlfn.CONCAT(Sheet1!A55," -",Sheet1!B55)</f>
        <v>M1053 -Movie_53</v>
      </c>
      <c r="G55" t="str">
        <f>LEFT(Sheet1!F55,3)</f>
        <v>Eng</v>
      </c>
      <c r="H55" t="str">
        <f>RIGHT(Sheet1!G55,2)</f>
        <v>11</v>
      </c>
      <c r="I55">
        <f>LEN(Sheet1!B55)</f>
        <v>8</v>
      </c>
      <c r="J55" t="str">
        <f>TRIM(Sheet1!C55)</f>
        <v>Horror</v>
      </c>
      <c r="K55" t="str">
        <f>VLOOKUP(Sheet1!A55,Sheet1!A55:I554,3,0)</f>
        <v>Horror</v>
      </c>
      <c r="L55">
        <f>VLOOKUP(Sheet1!B55,Sheet1!B55:I554,3,0)</f>
        <v>139</v>
      </c>
    </row>
    <row r="56" spans="5:12" x14ac:dyDescent="0.25">
      <c r="E56" t="str">
        <f>IF(Sheet1!D56&gt;120,"Long","Short")</f>
        <v>Long</v>
      </c>
      <c r="F56" t="str">
        <f>_xlfn.CONCAT(Sheet1!A56," -",Sheet1!B56)</f>
        <v>M1054 -Movie_54</v>
      </c>
      <c r="G56" t="str">
        <f>LEFT(Sheet1!F56,3)</f>
        <v>Jap</v>
      </c>
      <c r="H56" t="str">
        <f>RIGHT(Sheet1!G56,2)</f>
        <v>81</v>
      </c>
      <c r="I56">
        <f>LEN(Sheet1!B56)</f>
        <v>8</v>
      </c>
      <c r="J56" t="str">
        <f>TRIM(Sheet1!C56)</f>
        <v>Thriller</v>
      </c>
      <c r="K56" t="str">
        <f>VLOOKUP(Sheet1!A56,Sheet1!A56:I555,3,0)</f>
        <v>Thriller</v>
      </c>
      <c r="L56">
        <f>VLOOKUP(Sheet1!B56,Sheet1!B56:I555,3,0)</f>
        <v>164</v>
      </c>
    </row>
    <row r="57" spans="5:12" x14ac:dyDescent="0.25">
      <c r="E57" t="str">
        <f>IF(Sheet1!D57&gt;120,"Long","Short")</f>
        <v>Long</v>
      </c>
      <c r="F57" t="str">
        <f>_xlfn.CONCAT(Sheet1!A57," -",Sheet1!B57)</f>
        <v>M1055 -Movie_55</v>
      </c>
      <c r="G57" t="str">
        <f>LEFT(Sheet1!F57,3)</f>
        <v>Fre</v>
      </c>
      <c r="H57" t="str">
        <f>RIGHT(Sheet1!G57,2)</f>
        <v>85</v>
      </c>
      <c r="I57">
        <f>LEN(Sheet1!B57)</f>
        <v>8</v>
      </c>
      <c r="J57" t="str">
        <f>TRIM(Sheet1!C57)</f>
        <v>Sci-Fi</v>
      </c>
      <c r="K57" t="str">
        <f>VLOOKUP(Sheet1!A57,Sheet1!A57:I556,3,0)</f>
        <v>Sci-Fi</v>
      </c>
      <c r="L57">
        <f>VLOOKUP(Sheet1!B57,Sheet1!B57:I556,3,0)</f>
        <v>143</v>
      </c>
    </row>
    <row r="58" spans="5:12" x14ac:dyDescent="0.25">
      <c r="E58" t="str">
        <f>IF(Sheet1!D58&gt;120,"Long","Short")</f>
        <v>Long</v>
      </c>
      <c r="F58" t="str">
        <f>_xlfn.CONCAT(Sheet1!A58," -",Sheet1!B58)</f>
        <v>M1056 -Movie_56</v>
      </c>
      <c r="G58" t="str">
        <f>LEFT(Sheet1!F58,3)</f>
        <v>Hin</v>
      </c>
      <c r="H58" t="str">
        <f>RIGHT(Sheet1!G58,2)</f>
        <v>05</v>
      </c>
      <c r="I58">
        <f>LEN(Sheet1!B58)</f>
        <v>8</v>
      </c>
      <c r="J58" t="str">
        <f>TRIM(Sheet1!C58)</f>
        <v>Action</v>
      </c>
      <c r="K58" t="str">
        <f>VLOOKUP(Sheet1!A58,Sheet1!A58:I557,3,0)</f>
        <v>Action</v>
      </c>
      <c r="L58">
        <f>VLOOKUP(Sheet1!B58,Sheet1!B58:I557,3,0)</f>
        <v>163</v>
      </c>
    </row>
    <row r="59" spans="5:12" x14ac:dyDescent="0.25">
      <c r="E59" t="str">
        <f>IF(Sheet1!D59&gt;120,"Long","Short")</f>
        <v>Long</v>
      </c>
      <c r="F59" t="str">
        <f>_xlfn.CONCAT(Sheet1!A59," -",Sheet1!B59)</f>
        <v>M1057 -Movie_57</v>
      </c>
      <c r="G59" t="str">
        <f>LEFT(Sheet1!F59,3)</f>
        <v>Spa</v>
      </c>
      <c r="H59" t="str">
        <f>RIGHT(Sheet1!G59,2)</f>
        <v>12</v>
      </c>
      <c r="I59">
        <f>LEN(Sheet1!B59)</f>
        <v>8</v>
      </c>
      <c r="J59" t="str">
        <f>TRIM(Sheet1!C59)</f>
        <v>Thriller</v>
      </c>
      <c r="K59" t="str">
        <f>VLOOKUP(Sheet1!A59,Sheet1!A59:I558,3,0)</f>
        <v>Thriller</v>
      </c>
      <c r="L59">
        <f>VLOOKUP(Sheet1!B59,Sheet1!B59:I558,3,0)</f>
        <v>135</v>
      </c>
    </row>
    <row r="60" spans="5:12" x14ac:dyDescent="0.25">
      <c r="E60" t="str">
        <f>IF(Sheet1!D60&gt;120,"Long","Short")</f>
        <v>Short</v>
      </c>
      <c r="F60" t="str">
        <f>_xlfn.CONCAT(Sheet1!A60," -",Sheet1!B60)</f>
        <v>M1058 -Movie_58</v>
      </c>
      <c r="G60" t="str">
        <f>LEFT(Sheet1!F60,3)</f>
        <v>Hin</v>
      </c>
      <c r="H60" t="str">
        <f>RIGHT(Sheet1!G60,2)</f>
        <v>09</v>
      </c>
      <c r="I60">
        <f>LEN(Sheet1!B60)</f>
        <v>8</v>
      </c>
      <c r="J60" t="str">
        <f>TRIM(Sheet1!C60)</f>
        <v>Action</v>
      </c>
      <c r="K60" t="str">
        <f>VLOOKUP(Sheet1!A60,Sheet1!A60:I559,3,0)</f>
        <v>Action</v>
      </c>
      <c r="L60">
        <f>VLOOKUP(Sheet1!B60,Sheet1!B60:I559,3,0)</f>
        <v>92</v>
      </c>
    </row>
    <row r="61" spans="5:12" x14ac:dyDescent="0.25">
      <c r="E61" t="str">
        <f>IF(Sheet1!D61&gt;120,"Long","Short")</f>
        <v>Short</v>
      </c>
      <c r="F61" t="str">
        <f>_xlfn.CONCAT(Sheet1!A61," -",Sheet1!B61)</f>
        <v>M1059 -Movie_59</v>
      </c>
      <c r="G61" t="str">
        <f>LEFT(Sheet1!F61,3)</f>
        <v>Ger</v>
      </c>
      <c r="H61" t="str">
        <f>RIGHT(Sheet1!G61,2)</f>
        <v>95</v>
      </c>
      <c r="I61">
        <f>LEN(Sheet1!B61)</f>
        <v>8</v>
      </c>
      <c r="J61" t="str">
        <f>TRIM(Sheet1!C61)</f>
        <v>Sci-Fi</v>
      </c>
      <c r="K61" t="str">
        <f>VLOOKUP(Sheet1!A61,Sheet1!A61:I560,3,0)</f>
        <v>Sci-Fi</v>
      </c>
      <c r="L61">
        <f>VLOOKUP(Sheet1!B61,Sheet1!B61:I560,3,0)</f>
        <v>109</v>
      </c>
    </row>
    <row r="62" spans="5:12" x14ac:dyDescent="0.25">
      <c r="E62" t="str">
        <f>IF(Sheet1!D62&gt;120,"Long","Short")</f>
        <v>Long</v>
      </c>
      <c r="F62" t="str">
        <f>_xlfn.CONCAT(Sheet1!A62," -",Sheet1!B62)</f>
        <v>M1060 -Movie_60</v>
      </c>
      <c r="G62" t="str">
        <f>LEFT(Sheet1!F62,3)</f>
        <v>Spa</v>
      </c>
      <c r="H62" t="str">
        <f>RIGHT(Sheet1!G62,2)</f>
        <v>93</v>
      </c>
      <c r="I62">
        <f>LEN(Sheet1!B62)</f>
        <v>8</v>
      </c>
      <c r="J62" t="str">
        <f>TRIM(Sheet1!C62)</f>
        <v>Drama</v>
      </c>
      <c r="K62" t="str">
        <f>VLOOKUP(Sheet1!A62,Sheet1!A62:I561,3,0)</f>
        <v>Drama</v>
      </c>
      <c r="L62">
        <f>VLOOKUP(Sheet1!B62,Sheet1!B62:I561,3,0)</f>
        <v>167</v>
      </c>
    </row>
    <row r="63" spans="5:12" x14ac:dyDescent="0.25">
      <c r="E63" t="str">
        <f>IF(Sheet1!D63&gt;120,"Long","Short")</f>
        <v>Long</v>
      </c>
      <c r="F63" t="str">
        <f>_xlfn.CONCAT(Sheet1!A63," -",Sheet1!B63)</f>
        <v>M1061 -Movie_61</v>
      </c>
      <c r="G63" t="str">
        <f>LEFT(Sheet1!F63,3)</f>
        <v>Spa</v>
      </c>
      <c r="H63" t="str">
        <f>RIGHT(Sheet1!G63,2)</f>
        <v>17</v>
      </c>
      <c r="I63">
        <f>LEN(Sheet1!B63)</f>
        <v>8</v>
      </c>
      <c r="J63" t="str">
        <f>TRIM(Sheet1!C63)</f>
        <v>Horror</v>
      </c>
      <c r="K63" t="str">
        <f>VLOOKUP(Sheet1!A63,Sheet1!A63:I562,3,0)</f>
        <v>Horror</v>
      </c>
      <c r="L63">
        <f>VLOOKUP(Sheet1!B63,Sheet1!B63:I562,3,0)</f>
        <v>157</v>
      </c>
    </row>
    <row r="64" spans="5:12" x14ac:dyDescent="0.25">
      <c r="E64" t="str">
        <f>IF(Sheet1!D64&gt;120,"Long","Short")</f>
        <v>Short</v>
      </c>
      <c r="F64" t="str">
        <f>_xlfn.CONCAT(Sheet1!A64," -",Sheet1!B64)</f>
        <v>M1062 -Movie_62</v>
      </c>
      <c r="G64" t="str">
        <f>LEFT(Sheet1!F64,3)</f>
        <v>Spa</v>
      </c>
      <c r="H64" t="str">
        <f>RIGHT(Sheet1!G64,2)</f>
        <v>02</v>
      </c>
      <c r="I64">
        <f>LEN(Sheet1!B64)</f>
        <v>8</v>
      </c>
      <c r="J64" t="str">
        <f>TRIM(Sheet1!C64)</f>
        <v>Sci-Fi</v>
      </c>
      <c r="K64" t="str">
        <f>VLOOKUP(Sheet1!A64,Sheet1!A64:I563,3,0)</f>
        <v>Sci-Fi</v>
      </c>
      <c r="L64">
        <f>VLOOKUP(Sheet1!B64,Sheet1!B64:I563,3,0)</f>
        <v>104</v>
      </c>
    </row>
    <row r="65" spans="5:12" x14ac:dyDescent="0.25">
      <c r="E65" t="str">
        <f>IF(Sheet1!D65&gt;120,"Long","Short")</f>
        <v>Long</v>
      </c>
      <c r="F65" t="str">
        <f>_xlfn.CONCAT(Sheet1!A65," -",Sheet1!B65)</f>
        <v>M1063 -Movie_63</v>
      </c>
      <c r="G65" t="str">
        <f>LEFT(Sheet1!F65,3)</f>
        <v>Jap</v>
      </c>
      <c r="H65" t="str">
        <f>RIGHT(Sheet1!G65,2)</f>
        <v>83</v>
      </c>
      <c r="I65">
        <f>LEN(Sheet1!B65)</f>
        <v>8</v>
      </c>
      <c r="J65" t="str">
        <f>TRIM(Sheet1!C65)</f>
        <v>Drama</v>
      </c>
      <c r="K65" t="str">
        <f>VLOOKUP(Sheet1!A65,Sheet1!A65:I564,3,0)</f>
        <v>Drama</v>
      </c>
      <c r="L65">
        <f>VLOOKUP(Sheet1!B65,Sheet1!B65:I564,3,0)</f>
        <v>137</v>
      </c>
    </row>
    <row r="66" spans="5:12" x14ac:dyDescent="0.25">
      <c r="E66" t="str">
        <f>IF(Sheet1!D66&gt;120,"Long","Short")</f>
        <v>Long</v>
      </c>
      <c r="F66" t="str">
        <f>_xlfn.CONCAT(Sheet1!A66," -",Sheet1!B66)</f>
        <v>M1064 -Movie_64</v>
      </c>
      <c r="G66" t="str">
        <f>LEFT(Sheet1!F66,3)</f>
        <v>Hin</v>
      </c>
      <c r="H66" t="str">
        <f>RIGHT(Sheet1!G66,2)</f>
        <v>83</v>
      </c>
      <c r="I66">
        <f>LEN(Sheet1!B66)</f>
        <v>8</v>
      </c>
      <c r="J66" t="str">
        <f>TRIM(Sheet1!C66)</f>
        <v>Sci-Fi</v>
      </c>
      <c r="K66" t="str">
        <f>VLOOKUP(Sheet1!A66,Sheet1!A66:I565,3,0)</f>
        <v>Sci-Fi</v>
      </c>
      <c r="L66">
        <f>VLOOKUP(Sheet1!B66,Sheet1!B66:I565,3,0)</f>
        <v>163</v>
      </c>
    </row>
    <row r="67" spans="5:12" x14ac:dyDescent="0.25">
      <c r="E67" t="str">
        <f>IF(Sheet1!D67&gt;120,"Long","Short")</f>
        <v>Long</v>
      </c>
      <c r="F67" t="str">
        <f>_xlfn.CONCAT(Sheet1!A67," -",Sheet1!B67)</f>
        <v>M1065 -Movie_65</v>
      </c>
      <c r="G67" t="str">
        <f>LEFT(Sheet1!F67,3)</f>
        <v>Spa</v>
      </c>
      <c r="H67" t="str">
        <f>RIGHT(Sheet1!G67,2)</f>
        <v>98</v>
      </c>
      <c r="I67">
        <f>LEN(Sheet1!B67)</f>
        <v>8</v>
      </c>
      <c r="J67" t="str">
        <f>TRIM(Sheet1!C67)</f>
        <v>Comedy</v>
      </c>
      <c r="K67" t="str">
        <f>VLOOKUP(Sheet1!A67,Sheet1!A67:I566,3,0)</f>
        <v>Comedy</v>
      </c>
      <c r="L67">
        <f>VLOOKUP(Sheet1!B67,Sheet1!B67:I566,3,0)</f>
        <v>200</v>
      </c>
    </row>
    <row r="68" spans="5:12" x14ac:dyDescent="0.25">
      <c r="E68" t="str">
        <f>IF(Sheet1!D68&gt;120,"Long","Short")</f>
        <v>Short</v>
      </c>
      <c r="F68" t="str">
        <f>_xlfn.CONCAT(Sheet1!A68," -",Sheet1!B68)</f>
        <v>M1066 -Movie_66</v>
      </c>
      <c r="G68" t="str">
        <f>LEFT(Sheet1!F68,3)</f>
        <v>Jap</v>
      </c>
      <c r="H68" t="str">
        <f>RIGHT(Sheet1!G68,2)</f>
        <v>11</v>
      </c>
      <c r="I68">
        <f>LEN(Sheet1!B68)</f>
        <v>8</v>
      </c>
      <c r="J68" t="str">
        <f>TRIM(Sheet1!C68)</f>
        <v>Horror</v>
      </c>
      <c r="K68" t="str">
        <f>VLOOKUP(Sheet1!A68,Sheet1!A68:I567,3,0)</f>
        <v>Horror</v>
      </c>
      <c r="L68">
        <f>VLOOKUP(Sheet1!B68,Sheet1!B68:I567,3,0)</f>
        <v>60</v>
      </c>
    </row>
    <row r="69" spans="5:12" x14ac:dyDescent="0.25">
      <c r="E69" t="str">
        <f>IF(Sheet1!D69&gt;120,"Long","Short")</f>
        <v>Long</v>
      </c>
      <c r="F69" t="str">
        <f>_xlfn.CONCAT(Sheet1!A69," -",Sheet1!B69)</f>
        <v>M1067 -Movie_67</v>
      </c>
      <c r="G69" t="str">
        <f>LEFT(Sheet1!F69,3)</f>
        <v>Ger</v>
      </c>
      <c r="H69" t="str">
        <f>RIGHT(Sheet1!G69,2)</f>
        <v>18</v>
      </c>
      <c r="I69">
        <f>LEN(Sheet1!B69)</f>
        <v>8</v>
      </c>
      <c r="J69" t="str">
        <f>TRIM(Sheet1!C69)</f>
        <v>Action</v>
      </c>
      <c r="K69" t="str">
        <f>VLOOKUP(Sheet1!A69,Sheet1!A69:I568,3,0)</f>
        <v>Action</v>
      </c>
      <c r="L69">
        <f>VLOOKUP(Sheet1!B69,Sheet1!B69:I568,3,0)</f>
        <v>137</v>
      </c>
    </row>
    <row r="70" spans="5:12" x14ac:dyDescent="0.25">
      <c r="E70" t="str">
        <f>IF(Sheet1!D70&gt;120,"Long","Short")</f>
        <v>Long</v>
      </c>
      <c r="F70" t="str">
        <f>_xlfn.CONCAT(Sheet1!A70," -",Sheet1!B70)</f>
        <v>M1068 -Movie_68</v>
      </c>
      <c r="G70" t="str">
        <f>LEFT(Sheet1!F70,3)</f>
        <v>Eng</v>
      </c>
      <c r="H70" t="str">
        <f>RIGHT(Sheet1!G70,2)</f>
        <v>21</v>
      </c>
      <c r="I70">
        <f>LEN(Sheet1!B70)</f>
        <v>8</v>
      </c>
      <c r="J70" t="str">
        <f>TRIM(Sheet1!C70)</f>
        <v>Action</v>
      </c>
      <c r="K70" t="str">
        <f>VLOOKUP(Sheet1!A70,Sheet1!A70:I569,3,0)</f>
        <v>Action</v>
      </c>
      <c r="L70">
        <f>VLOOKUP(Sheet1!B70,Sheet1!B70:I569,3,0)</f>
        <v>133</v>
      </c>
    </row>
    <row r="71" spans="5:12" x14ac:dyDescent="0.25">
      <c r="E71" t="str">
        <f>IF(Sheet1!D71&gt;120,"Long","Short")</f>
        <v>Short</v>
      </c>
      <c r="F71" t="str">
        <f>_xlfn.CONCAT(Sheet1!A71," -",Sheet1!B71)</f>
        <v>M1069 -Movie_69</v>
      </c>
      <c r="G71" t="str">
        <f>LEFT(Sheet1!F71,3)</f>
        <v>Ger</v>
      </c>
      <c r="H71" t="str">
        <f>RIGHT(Sheet1!G71,2)</f>
        <v>23</v>
      </c>
      <c r="I71">
        <f>LEN(Sheet1!B71)</f>
        <v>8</v>
      </c>
      <c r="J71" t="str">
        <f>TRIM(Sheet1!C71)</f>
        <v>Horror</v>
      </c>
      <c r="K71" t="str">
        <f>VLOOKUP(Sheet1!A71,Sheet1!A71:I570,3,0)</f>
        <v>Horror</v>
      </c>
      <c r="L71">
        <f>VLOOKUP(Sheet1!B71,Sheet1!B71:I570,3,0)</f>
        <v>113</v>
      </c>
    </row>
    <row r="72" spans="5:12" x14ac:dyDescent="0.25">
      <c r="E72" t="str">
        <f>IF(Sheet1!D72&gt;120,"Long","Short")</f>
        <v>Long</v>
      </c>
      <c r="F72" t="str">
        <f>_xlfn.CONCAT(Sheet1!A72," -",Sheet1!B72)</f>
        <v>M1070 -Movie_70</v>
      </c>
      <c r="G72" t="str">
        <f>LEFT(Sheet1!F72,3)</f>
        <v>Fre</v>
      </c>
      <c r="H72" t="str">
        <f>RIGHT(Sheet1!G72,2)</f>
        <v>10</v>
      </c>
      <c r="I72">
        <f>LEN(Sheet1!B72)</f>
        <v>8</v>
      </c>
      <c r="J72" t="str">
        <f>TRIM(Sheet1!C72)</f>
        <v>Comedy</v>
      </c>
      <c r="K72" t="str">
        <f>VLOOKUP(Sheet1!A72,Sheet1!A72:I571,3,0)</f>
        <v>Comedy</v>
      </c>
      <c r="L72">
        <f>VLOOKUP(Sheet1!B72,Sheet1!B72:I571,3,0)</f>
        <v>170</v>
      </c>
    </row>
    <row r="73" spans="5:12" x14ac:dyDescent="0.25">
      <c r="E73" t="str">
        <f>IF(Sheet1!D73&gt;120,"Long","Short")</f>
        <v>Long</v>
      </c>
      <c r="F73" t="str">
        <f>_xlfn.CONCAT(Sheet1!A73," -",Sheet1!B73)</f>
        <v>M1071 -Movie_71</v>
      </c>
      <c r="G73" t="str">
        <f>LEFT(Sheet1!F73,3)</f>
        <v>Jap</v>
      </c>
      <c r="H73" t="str">
        <f>RIGHT(Sheet1!G73,2)</f>
        <v>98</v>
      </c>
      <c r="I73">
        <f>LEN(Sheet1!B73)</f>
        <v>8</v>
      </c>
      <c r="J73" t="str">
        <f>TRIM(Sheet1!C73)</f>
        <v>Drama</v>
      </c>
      <c r="K73" t="str">
        <f>VLOOKUP(Sheet1!A73,Sheet1!A73:I572,3,0)</f>
        <v>Drama</v>
      </c>
      <c r="L73">
        <f>VLOOKUP(Sheet1!B73,Sheet1!B73:I572,3,0)</f>
        <v>142</v>
      </c>
    </row>
    <row r="74" spans="5:12" x14ac:dyDescent="0.25">
      <c r="E74" t="str">
        <f>IF(Sheet1!D74&gt;120,"Long","Short")</f>
        <v>Long</v>
      </c>
      <c r="F74" t="str">
        <f>_xlfn.CONCAT(Sheet1!A74," -",Sheet1!B74)</f>
        <v>M1072 -Movie_72</v>
      </c>
      <c r="G74" t="str">
        <f>LEFT(Sheet1!F74,3)</f>
        <v>Jap</v>
      </c>
      <c r="H74" t="str">
        <f>RIGHT(Sheet1!G74,2)</f>
        <v>14</v>
      </c>
      <c r="I74">
        <f>LEN(Sheet1!B74)</f>
        <v>8</v>
      </c>
      <c r="J74" t="str">
        <f>TRIM(Sheet1!C74)</f>
        <v>Action</v>
      </c>
      <c r="K74" t="str">
        <f>VLOOKUP(Sheet1!A74,Sheet1!A74:I573,3,0)</f>
        <v>Action</v>
      </c>
      <c r="L74">
        <f>VLOOKUP(Sheet1!B74,Sheet1!B74:I573,3,0)</f>
        <v>179</v>
      </c>
    </row>
    <row r="75" spans="5:12" x14ac:dyDescent="0.25">
      <c r="E75" t="str">
        <f>IF(Sheet1!D75&gt;120,"Long","Short")</f>
        <v>Long</v>
      </c>
      <c r="F75" t="str">
        <f>_xlfn.CONCAT(Sheet1!A75," -",Sheet1!B75)</f>
        <v>M1073 -Movie_73</v>
      </c>
      <c r="G75" t="str">
        <f>LEFT(Sheet1!F75,3)</f>
        <v>Spa</v>
      </c>
      <c r="H75" t="str">
        <f>RIGHT(Sheet1!G75,2)</f>
        <v>80</v>
      </c>
      <c r="I75">
        <f>LEN(Sheet1!B75)</f>
        <v>8</v>
      </c>
      <c r="J75" t="str">
        <f>TRIM(Sheet1!C75)</f>
        <v>Comedy</v>
      </c>
      <c r="K75" t="str">
        <f>VLOOKUP(Sheet1!A75,Sheet1!A75:I574,3,0)</f>
        <v>Comedy</v>
      </c>
      <c r="L75">
        <f>VLOOKUP(Sheet1!B75,Sheet1!B75:I574,3,0)</f>
        <v>173</v>
      </c>
    </row>
    <row r="76" spans="5:12" x14ac:dyDescent="0.25">
      <c r="E76" t="str">
        <f>IF(Sheet1!D76&gt;120,"Long","Short")</f>
        <v>Long</v>
      </c>
      <c r="F76" t="str">
        <f>_xlfn.CONCAT(Sheet1!A76," -",Sheet1!B76)</f>
        <v>M1074 -Movie_74</v>
      </c>
      <c r="G76" t="str">
        <f>LEFT(Sheet1!F76,3)</f>
        <v>Ger</v>
      </c>
      <c r="H76" t="str">
        <f>RIGHT(Sheet1!G76,2)</f>
        <v>86</v>
      </c>
      <c r="I76">
        <f>LEN(Sheet1!B76)</f>
        <v>8</v>
      </c>
      <c r="J76" t="str">
        <f>TRIM(Sheet1!C76)</f>
        <v>Action</v>
      </c>
      <c r="K76" t="str">
        <f>VLOOKUP(Sheet1!A76,Sheet1!A76:I575,3,0)</f>
        <v>Action</v>
      </c>
      <c r="L76">
        <f>VLOOKUP(Sheet1!B76,Sheet1!B76:I575,3,0)</f>
        <v>173</v>
      </c>
    </row>
    <row r="77" spans="5:12" x14ac:dyDescent="0.25">
      <c r="E77" t="str">
        <f>IF(Sheet1!D77&gt;120,"Long","Short")</f>
        <v>Short</v>
      </c>
      <c r="F77" t="str">
        <f>_xlfn.CONCAT(Sheet1!A77," -",Sheet1!B77)</f>
        <v>M1075 -Movie_75</v>
      </c>
      <c r="G77" t="str">
        <f>LEFT(Sheet1!F77,3)</f>
        <v>Hin</v>
      </c>
      <c r="H77" t="str">
        <f>RIGHT(Sheet1!G77,2)</f>
        <v>07</v>
      </c>
      <c r="I77">
        <f>LEN(Sheet1!B77)</f>
        <v>8</v>
      </c>
      <c r="J77" t="str">
        <f>TRIM(Sheet1!C77)</f>
        <v>Thriller</v>
      </c>
      <c r="K77" t="str">
        <f>VLOOKUP(Sheet1!A77,Sheet1!A77:I576,3,0)</f>
        <v>Thriller</v>
      </c>
      <c r="L77">
        <f>VLOOKUP(Sheet1!B77,Sheet1!B77:I576,3,0)</f>
        <v>114</v>
      </c>
    </row>
    <row r="78" spans="5:12" x14ac:dyDescent="0.25">
      <c r="E78" t="str">
        <f>IF(Sheet1!D78&gt;120,"Long","Short")</f>
        <v>Long</v>
      </c>
      <c r="F78" t="str">
        <f>_xlfn.CONCAT(Sheet1!A78," -",Sheet1!B78)</f>
        <v>M1076 -Movie_76</v>
      </c>
      <c r="G78" t="str">
        <f>LEFT(Sheet1!F78,3)</f>
        <v>Fre</v>
      </c>
      <c r="H78" t="str">
        <f>RIGHT(Sheet1!G78,2)</f>
        <v>88</v>
      </c>
      <c r="I78">
        <f>LEN(Sheet1!B78)</f>
        <v>8</v>
      </c>
      <c r="J78" t="str">
        <f>TRIM(Sheet1!C78)</f>
        <v>Drama</v>
      </c>
      <c r="K78" t="str">
        <f>VLOOKUP(Sheet1!A78,Sheet1!A78:I577,3,0)</f>
        <v>Drama</v>
      </c>
      <c r="L78">
        <f>VLOOKUP(Sheet1!B78,Sheet1!B78:I577,3,0)</f>
        <v>190</v>
      </c>
    </row>
    <row r="79" spans="5:12" x14ac:dyDescent="0.25">
      <c r="E79" t="str">
        <f>IF(Sheet1!D79&gt;120,"Long","Short")</f>
        <v>Long</v>
      </c>
      <c r="F79" t="str">
        <f>_xlfn.CONCAT(Sheet1!A79," -",Sheet1!B79)</f>
        <v>M1077 -Movie_77</v>
      </c>
      <c r="G79" t="str">
        <f>LEFT(Sheet1!F79,3)</f>
        <v>Jap</v>
      </c>
      <c r="H79" t="str">
        <f>RIGHT(Sheet1!G79,2)</f>
        <v>96</v>
      </c>
      <c r="I79">
        <f>LEN(Sheet1!B79)</f>
        <v>8</v>
      </c>
      <c r="J79" t="str">
        <f>TRIM(Sheet1!C79)</f>
        <v>Thriller</v>
      </c>
      <c r="K79" t="str">
        <f>VLOOKUP(Sheet1!A79,Sheet1!A79:I578,3,0)</f>
        <v>Thriller</v>
      </c>
      <c r="L79">
        <f>VLOOKUP(Sheet1!B79,Sheet1!B79:I578,3,0)</f>
        <v>181</v>
      </c>
    </row>
    <row r="80" spans="5:12" x14ac:dyDescent="0.25">
      <c r="E80" t="str">
        <f>IF(Sheet1!D80&gt;120,"Long","Short")</f>
        <v>Short</v>
      </c>
      <c r="F80" t="str">
        <f>_xlfn.CONCAT(Sheet1!A80," -",Sheet1!B80)</f>
        <v>M1078 -Movie_78</v>
      </c>
      <c r="G80" t="str">
        <f>LEFT(Sheet1!F80,3)</f>
        <v>Ger</v>
      </c>
      <c r="H80" t="str">
        <f>RIGHT(Sheet1!G80,2)</f>
        <v>03</v>
      </c>
      <c r="I80">
        <f>LEN(Sheet1!B80)</f>
        <v>8</v>
      </c>
      <c r="J80" t="str">
        <f>TRIM(Sheet1!C80)</f>
        <v>Horror</v>
      </c>
      <c r="K80" t="str">
        <f>VLOOKUP(Sheet1!A80,Sheet1!A80:I579,3,0)</f>
        <v>Horror</v>
      </c>
      <c r="L80">
        <f>VLOOKUP(Sheet1!B80,Sheet1!B80:I579,3,0)</f>
        <v>103</v>
      </c>
    </row>
    <row r="81" spans="5:12" x14ac:dyDescent="0.25">
      <c r="E81" t="str">
        <f>IF(Sheet1!D81&gt;120,"Long","Short")</f>
        <v>Short</v>
      </c>
      <c r="F81" t="str">
        <f>_xlfn.CONCAT(Sheet1!A81," -",Sheet1!B81)</f>
        <v>M1079 -Movie_79</v>
      </c>
      <c r="G81" t="str">
        <f>LEFT(Sheet1!F81,3)</f>
        <v>Spa</v>
      </c>
      <c r="H81" t="str">
        <f>RIGHT(Sheet1!G81,2)</f>
        <v>05</v>
      </c>
      <c r="I81">
        <f>LEN(Sheet1!B81)</f>
        <v>8</v>
      </c>
      <c r="J81" t="str">
        <f>TRIM(Sheet1!C81)</f>
        <v>Drama</v>
      </c>
      <c r="K81" t="str">
        <f>VLOOKUP(Sheet1!A81,Sheet1!A81:I580,3,0)</f>
        <v>Drama</v>
      </c>
      <c r="L81">
        <f>VLOOKUP(Sheet1!B81,Sheet1!B81:I580,3,0)</f>
        <v>81</v>
      </c>
    </row>
    <row r="82" spans="5:12" x14ac:dyDescent="0.25">
      <c r="E82" t="str">
        <f>IF(Sheet1!D82&gt;120,"Long","Short")</f>
        <v>Long</v>
      </c>
      <c r="F82" t="str">
        <f>_xlfn.CONCAT(Sheet1!A82," -",Sheet1!B82)</f>
        <v>M1080 -Movie_80</v>
      </c>
      <c r="G82" t="str">
        <f>LEFT(Sheet1!F82,3)</f>
        <v>Hin</v>
      </c>
      <c r="H82" t="str">
        <f>RIGHT(Sheet1!G82,2)</f>
        <v>03</v>
      </c>
      <c r="I82">
        <f>LEN(Sheet1!B82)</f>
        <v>8</v>
      </c>
      <c r="J82" t="str">
        <f>TRIM(Sheet1!C82)</f>
        <v>Comedy</v>
      </c>
      <c r="K82" t="str">
        <f>VLOOKUP(Sheet1!A82,Sheet1!A82:I581,3,0)</f>
        <v>Comedy</v>
      </c>
      <c r="L82">
        <f>VLOOKUP(Sheet1!B82,Sheet1!B82:I581,3,0)</f>
        <v>132</v>
      </c>
    </row>
    <row r="83" spans="5:12" x14ac:dyDescent="0.25">
      <c r="E83" t="str">
        <f>IF(Sheet1!D83&gt;120,"Long","Short")</f>
        <v>Long</v>
      </c>
      <c r="F83" t="str">
        <f>_xlfn.CONCAT(Sheet1!A83," -",Sheet1!B83)</f>
        <v>M1081 -Movie_81</v>
      </c>
      <c r="G83" t="str">
        <f>LEFT(Sheet1!F83,3)</f>
        <v>Spa</v>
      </c>
      <c r="H83" t="str">
        <f>RIGHT(Sheet1!G83,2)</f>
        <v>82</v>
      </c>
      <c r="I83">
        <f>LEN(Sheet1!B83)</f>
        <v>8</v>
      </c>
      <c r="J83" t="str">
        <f>TRIM(Sheet1!C83)</f>
        <v>Drama</v>
      </c>
      <c r="K83" t="str">
        <f>VLOOKUP(Sheet1!A83,Sheet1!A83:I582,3,0)</f>
        <v>Drama</v>
      </c>
      <c r="L83">
        <f>VLOOKUP(Sheet1!B83,Sheet1!B83:I582,3,0)</f>
        <v>191</v>
      </c>
    </row>
    <row r="84" spans="5:12" x14ac:dyDescent="0.25">
      <c r="E84" t="str">
        <f>IF(Sheet1!D84&gt;120,"Long","Short")</f>
        <v>Long</v>
      </c>
      <c r="F84" t="str">
        <f>_xlfn.CONCAT(Sheet1!A84," -",Sheet1!B84)</f>
        <v>M1082 -Movie_82</v>
      </c>
      <c r="G84" t="str">
        <f>LEFT(Sheet1!F84,3)</f>
        <v>Fre</v>
      </c>
      <c r="H84" t="str">
        <f>RIGHT(Sheet1!G84,2)</f>
        <v>05</v>
      </c>
      <c r="I84">
        <f>LEN(Sheet1!B84)</f>
        <v>8</v>
      </c>
      <c r="J84" t="str">
        <f>TRIM(Sheet1!C84)</f>
        <v>Drama</v>
      </c>
      <c r="K84" t="str">
        <f>VLOOKUP(Sheet1!A84,Sheet1!A84:I583,3,0)</f>
        <v>Drama</v>
      </c>
      <c r="L84">
        <f>VLOOKUP(Sheet1!B84,Sheet1!B84:I583,3,0)</f>
        <v>145</v>
      </c>
    </row>
    <row r="85" spans="5:12" x14ac:dyDescent="0.25">
      <c r="E85" t="str">
        <f>IF(Sheet1!D85&gt;120,"Long","Short")</f>
        <v>Short</v>
      </c>
      <c r="F85" t="str">
        <f>_xlfn.CONCAT(Sheet1!A85," -",Sheet1!B85)</f>
        <v>M1083 -Movie_83</v>
      </c>
      <c r="G85" t="str">
        <f>LEFT(Sheet1!F85,3)</f>
        <v>Ger</v>
      </c>
      <c r="H85" t="str">
        <f>RIGHT(Sheet1!G85,2)</f>
        <v>83</v>
      </c>
      <c r="I85">
        <f>LEN(Sheet1!B85)</f>
        <v>8</v>
      </c>
      <c r="J85" t="str">
        <f>TRIM(Sheet1!C85)</f>
        <v>Comedy</v>
      </c>
      <c r="K85" t="str">
        <f>VLOOKUP(Sheet1!A85,Sheet1!A85:I584,3,0)</f>
        <v>Comedy</v>
      </c>
      <c r="L85">
        <f>VLOOKUP(Sheet1!B85,Sheet1!B85:I584,3,0)</f>
        <v>83</v>
      </c>
    </row>
    <row r="86" spans="5:12" x14ac:dyDescent="0.25">
      <c r="E86" t="str">
        <f>IF(Sheet1!D86&gt;120,"Long","Short")</f>
        <v>Short</v>
      </c>
      <c r="F86" t="str">
        <f>_xlfn.CONCAT(Sheet1!A86," -",Sheet1!B86)</f>
        <v>M1084 -Movie_84</v>
      </c>
      <c r="G86" t="str">
        <f>LEFT(Sheet1!F86,3)</f>
        <v>Spa</v>
      </c>
      <c r="H86" t="str">
        <f>RIGHT(Sheet1!G86,2)</f>
        <v>16</v>
      </c>
      <c r="I86">
        <f>LEN(Sheet1!B86)</f>
        <v>8</v>
      </c>
      <c r="J86" t="str">
        <f>TRIM(Sheet1!C86)</f>
        <v>Horror</v>
      </c>
      <c r="K86" t="str">
        <f>VLOOKUP(Sheet1!A86,Sheet1!A86:I585,3,0)</f>
        <v>Horror</v>
      </c>
      <c r="L86">
        <f>VLOOKUP(Sheet1!B86,Sheet1!B86:I585,3,0)</f>
        <v>120</v>
      </c>
    </row>
    <row r="87" spans="5:12" x14ac:dyDescent="0.25">
      <c r="E87" t="str">
        <f>IF(Sheet1!D87&gt;120,"Long","Short")</f>
        <v>Long</v>
      </c>
      <c r="F87" t="str">
        <f>_xlfn.CONCAT(Sheet1!A87," -",Sheet1!B87)</f>
        <v>M1085 -Movie_85</v>
      </c>
      <c r="G87" t="str">
        <f>LEFT(Sheet1!F87,3)</f>
        <v>Fre</v>
      </c>
      <c r="H87" t="str">
        <f>RIGHT(Sheet1!G87,2)</f>
        <v>15</v>
      </c>
      <c r="I87">
        <f>LEN(Sheet1!B87)</f>
        <v>8</v>
      </c>
      <c r="J87" t="str">
        <f>TRIM(Sheet1!C87)</f>
        <v>Drama</v>
      </c>
      <c r="K87" t="str">
        <f>VLOOKUP(Sheet1!A87,Sheet1!A87:I586,3,0)</f>
        <v>Drama</v>
      </c>
      <c r="L87">
        <f>VLOOKUP(Sheet1!B87,Sheet1!B87:I586,3,0)</f>
        <v>139</v>
      </c>
    </row>
    <row r="88" spans="5:12" x14ac:dyDescent="0.25">
      <c r="E88" t="str">
        <f>IF(Sheet1!D88&gt;120,"Long","Short")</f>
        <v>Short</v>
      </c>
      <c r="F88" t="str">
        <f>_xlfn.CONCAT(Sheet1!A88," -",Sheet1!B88)</f>
        <v>M1086 -Movie_86</v>
      </c>
      <c r="G88" t="str">
        <f>LEFT(Sheet1!F88,3)</f>
        <v>Jap</v>
      </c>
      <c r="H88" t="str">
        <f>RIGHT(Sheet1!G88,2)</f>
        <v>92</v>
      </c>
      <c r="I88">
        <f>LEN(Sheet1!B88)</f>
        <v>8</v>
      </c>
      <c r="J88" t="str">
        <f>TRIM(Sheet1!C88)</f>
        <v>Horror</v>
      </c>
      <c r="K88" t="str">
        <f>VLOOKUP(Sheet1!A88,Sheet1!A88:I587,3,0)</f>
        <v>Horror</v>
      </c>
      <c r="L88">
        <f>VLOOKUP(Sheet1!B88,Sheet1!B88:I587,3,0)</f>
        <v>117</v>
      </c>
    </row>
    <row r="89" spans="5:12" x14ac:dyDescent="0.25">
      <c r="E89" t="str">
        <f>IF(Sheet1!D89&gt;120,"Long","Short")</f>
        <v>Short</v>
      </c>
      <c r="F89" t="str">
        <f>_xlfn.CONCAT(Sheet1!A89," -",Sheet1!B89)</f>
        <v>M1087 -Movie_87</v>
      </c>
      <c r="G89" t="str">
        <f>LEFT(Sheet1!F89,3)</f>
        <v>Hin</v>
      </c>
      <c r="H89" t="str">
        <f>RIGHT(Sheet1!G89,2)</f>
        <v>03</v>
      </c>
      <c r="I89">
        <f>LEN(Sheet1!B89)</f>
        <v>8</v>
      </c>
      <c r="J89" t="str">
        <f>TRIM(Sheet1!C89)</f>
        <v>Horror</v>
      </c>
      <c r="K89" t="str">
        <f>VLOOKUP(Sheet1!A89,Sheet1!A89:I588,3,0)</f>
        <v>Horror</v>
      </c>
      <c r="L89">
        <f>VLOOKUP(Sheet1!B89,Sheet1!B89:I588,3,0)</f>
        <v>110</v>
      </c>
    </row>
    <row r="90" spans="5:12" x14ac:dyDescent="0.25">
      <c r="E90" t="str">
        <f>IF(Sheet1!D90&gt;120,"Long","Short")</f>
        <v>Short</v>
      </c>
      <c r="F90" t="str">
        <f>_xlfn.CONCAT(Sheet1!A90," -",Sheet1!B90)</f>
        <v>M1088 -Movie_88</v>
      </c>
      <c r="G90" t="str">
        <f>LEFT(Sheet1!F90,3)</f>
        <v>Ger</v>
      </c>
      <c r="H90" t="str">
        <f>RIGHT(Sheet1!G90,2)</f>
        <v>15</v>
      </c>
      <c r="I90">
        <f>LEN(Sheet1!B90)</f>
        <v>8</v>
      </c>
      <c r="J90" t="str">
        <f>TRIM(Sheet1!C90)</f>
        <v>Horror</v>
      </c>
      <c r="K90" t="str">
        <f>VLOOKUP(Sheet1!A90,Sheet1!A90:I589,3,0)</f>
        <v>Horror</v>
      </c>
      <c r="L90">
        <f>VLOOKUP(Sheet1!B90,Sheet1!B90:I589,3,0)</f>
        <v>97</v>
      </c>
    </row>
    <row r="91" spans="5:12" x14ac:dyDescent="0.25">
      <c r="E91" t="str">
        <f>IF(Sheet1!D91&gt;120,"Long","Short")</f>
        <v>Short</v>
      </c>
      <c r="F91" t="str">
        <f>_xlfn.CONCAT(Sheet1!A91," -",Sheet1!B91)</f>
        <v>M1089 -Movie_89</v>
      </c>
      <c r="G91" t="str">
        <f>LEFT(Sheet1!F91,3)</f>
        <v>Ger</v>
      </c>
      <c r="H91" t="str">
        <f>RIGHT(Sheet1!G91,2)</f>
        <v>98</v>
      </c>
      <c r="I91">
        <f>LEN(Sheet1!B91)</f>
        <v>8</v>
      </c>
      <c r="J91" t="str">
        <f>TRIM(Sheet1!C91)</f>
        <v>Action</v>
      </c>
      <c r="K91" t="str">
        <f>VLOOKUP(Sheet1!A91,Sheet1!A91:I590,3,0)</f>
        <v>Action</v>
      </c>
      <c r="L91">
        <f>VLOOKUP(Sheet1!B91,Sheet1!B91:I590,3,0)</f>
        <v>66</v>
      </c>
    </row>
    <row r="92" spans="5:12" x14ac:dyDescent="0.25">
      <c r="E92" t="str">
        <f>IF(Sheet1!D92&gt;120,"Long","Short")</f>
        <v>Short</v>
      </c>
      <c r="F92" t="str">
        <f>_xlfn.CONCAT(Sheet1!A92," -",Sheet1!B92)</f>
        <v>M1090 -Movie_90</v>
      </c>
      <c r="G92" t="str">
        <f>LEFT(Sheet1!F92,3)</f>
        <v>Fre</v>
      </c>
      <c r="H92" t="str">
        <f>RIGHT(Sheet1!G92,2)</f>
        <v>84</v>
      </c>
      <c r="I92">
        <f>LEN(Sheet1!B92)</f>
        <v>8</v>
      </c>
      <c r="J92" t="str">
        <f>TRIM(Sheet1!C92)</f>
        <v>Sci-Fi</v>
      </c>
      <c r="K92" t="str">
        <f>VLOOKUP(Sheet1!A92,Sheet1!A92:I591,3,0)</f>
        <v>Sci-Fi</v>
      </c>
      <c r="L92">
        <f>VLOOKUP(Sheet1!B92,Sheet1!B92:I591,3,0)</f>
        <v>71</v>
      </c>
    </row>
    <row r="93" spans="5:12" x14ac:dyDescent="0.25">
      <c r="E93" t="str">
        <f>IF(Sheet1!D93&gt;120,"Long","Short")</f>
        <v>Long</v>
      </c>
      <c r="F93" t="str">
        <f>_xlfn.CONCAT(Sheet1!A93," -",Sheet1!B93)</f>
        <v>M1091 -Movie_91</v>
      </c>
      <c r="G93" t="str">
        <f>LEFT(Sheet1!F93,3)</f>
        <v>Ger</v>
      </c>
      <c r="H93" t="str">
        <f>RIGHT(Sheet1!G93,2)</f>
        <v>04</v>
      </c>
      <c r="I93">
        <f>LEN(Sheet1!B93)</f>
        <v>8</v>
      </c>
      <c r="J93" t="str">
        <f>TRIM(Sheet1!C93)</f>
        <v>Horror</v>
      </c>
      <c r="K93" t="str">
        <f>VLOOKUP(Sheet1!A93,Sheet1!A93:I592,3,0)</f>
        <v>Horror</v>
      </c>
      <c r="L93">
        <f>VLOOKUP(Sheet1!B93,Sheet1!B93:I592,3,0)</f>
        <v>122</v>
      </c>
    </row>
    <row r="94" spans="5:12" x14ac:dyDescent="0.25">
      <c r="E94" t="str">
        <f>IF(Sheet1!D94&gt;120,"Long","Short")</f>
        <v>Long</v>
      </c>
      <c r="F94" t="str">
        <f>_xlfn.CONCAT(Sheet1!A94," -",Sheet1!B94)</f>
        <v>M1092 -Movie_92</v>
      </c>
      <c r="G94" t="str">
        <f>LEFT(Sheet1!F94,3)</f>
        <v>Hin</v>
      </c>
      <c r="H94" t="str">
        <f>RIGHT(Sheet1!G94,2)</f>
        <v>12</v>
      </c>
      <c r="I94">
        <f>LEN(Sheet1!B94)</f>
        <v>8</v>
      </c>
      <c r="J94" t="str">
        <f>TRIM(Sheet1!C94)</f>
        <v>Comedy</v>
      </c>
      <c r="K94" t="str">
        <f>VLOOKUP(Sheet1!A94,Sheet1!A94:I593,3,0)</f>
        <v>Comedy</v>
      </c>
      <c r="L94">
        <f>VLOOKUP(Sheet1!B94,Sheet1!B94:I593,3,0)</f>
        <v>181</v>
      </c>
    </row>
    <row r="95" spans="5:12" x14ac:dyDescent="0.25">
      <c r="E95" t="str">
        <f>IF(Sheet1!D95&gt;120,"Long","Short")</f>
        <v>Short</v>
      </c>
      <c r="F95" t="str">
        <f>_xlfn.CONCAT(Sheet1!A95," -",Sheet1!B95)</f>
        <v>M1093 -Movie_93</v>
      </c>
      <c r="G95" t="str">
        <f>LEFT(Sheet1!F95,3)</f>
        <v>Hin</v>
      </c>
      <c r="H95" t="str">
        <f>RIGHT(Sheet1!G95,2)</f>
        <v>08</v>
      </c>
      <c r="I95">
        <f>LEN(Sheet1!B95)</f>
        <v>8</v>
      </c>
      <c r="J95" t="str">
        <f>TRIM(Sheet1!C95)</f>
        <v>Sci-Fi</v>
      </c>
      <c r="K95" t="str">
        <f>VLOOKUP(Sheet1!A95,Sheet1!A95:I594,3,0)</f>
        <v>Sci-Fi</v>
      </c>
      <c r="L95">
        <f>VLOOKUP(Sheet1!B95,Sheet1!B95:I594,3,0)</f>
        <v>78</v>
      </c>
    </row>
    <row r="96" spans="5:12" x14ac:dyDescent="0.25">
      <c r="E96" t="str">
        <f>IF(Sheet1!D96&gt;120,"Long","Short")</f>
        <v>Long</v>
      </c>
      <c r="F96" t="str">
        <f>_xlfn.CONCAT(Sheet1!A96," -",Sheet1!B96)</f>
        <v>M1094 -Movie_94</v>
      </c>
      <c r="G96" t="str">
        <f>LEFT(Sheet1!F96,3)</f>
        <v>Ger</v>
      </c>
      <c r="H96" t="str">
        <f>RIGHT(Sheet1!G96,2)</f>
        <v>15</v>
      </c>
      <c r="I96">
        <f>LEN(Sheet1!B96)</f>
        <v>8</v>
      </c>
      <c r="J96" t="str">
        <f>TRIM(Sheet1!C96)</f>
        <v>Horror</v>
      </c>
      <c r="K96" t="str">
        <f>VLOOKUP(Sheet1!A96,Sheet1!A96:I595,3,0)</f>
        <v>Horror</v>
      </c>
      <c r="L96">
        <f>VLOOKUP(Sheet1!B96,Sheet1!B96:I595,3,0)</f>
        <v>176</v>
      </c>
    </row>
    <row r="97" spans="5:12" x14ac:dyDescent="0.25">
      <c r="E97" t="str">
        <f>IF(Sheet1!D97&gt;120,"Long","Short")</f>
        <v>Long</v>
      </c>
      <c r="F97" t="str">
        <f>_xlfn.CONCAT(Sheet1!A97," -",Sheet1!B97)</f>
        <v>M1095 -Movie_95</v>
      </c>
      <c r="G97" t="str">
        <f>LEFT(Sheet1!F97,3)</f>
        <v>Spa</v>
      </c>
      <c r="H97" t="str">
        <f>RIGHT(Sheet1!G97,2)</f>
        <v>97</v>
      </c>
      <c r="I97">
        <f>LEN(Sheet1!B97)</f>
        <v>8</v>
      </c>
      <c r="J97" t="str">
        <f>TRIM(Sheet1!C97)</f>
        <v>Comedy</v>
      </c>
      <c r="K97" t="str">
        <f>VLOOKUP(Sheet1!A97,Sheet1!A97:I596,3,0)</f>
        <v>Comedy</v>
      </c>
      <c r="L97">
        <f>VLOOKUP(Sheet1!B97,Sheet1!B97:I596,3,0)</f>
        <v>166</v>
      </c>
    </row>
    <row r="98" spans="5:12" x14ac:dyDescent="0.25">
      <c r="E98" t="str">
        <f>IF(Sheet1!D98&gt;120,"Long","Short")</f>
        <v>Short</v>
      </c>
      <c r="F98" t="str">
        <f>_xlfn.CONCAT(Sheet1!A98," -",Sheet1!B98)</f>
        <v>M1096 -Movie_96</v>
      </c>
      <c r="G98" t="str">
        <f>LEFT(Sheet1!F98,3)</f>
        <v>Spa</v>
      </c>
      <c r="H98" t="str">
        <f>RIGHT(Sheet1!G98,2)</f>
        <v>19</v>
      </c>
      <c r="I98">
        <f>LEN(Sheet1!B98)</f>
        <v>8</v>
      </c>
      <c r="J98" t="str">
        <f>TRIM(Sheet1!C98)</f>
        <v>Comedy</v>
      </c>
      <c r="K98" t="str">
        <f>VLOOKUP(Sheet1!A98,Sheet1!A98:I597,3,0)</f>
        <v>Comedy</v>
      </c>
      <c r="L98">
        <f>VLOOKUP(Sheet1!B98,Sheet1!B98:I597,3,0)</f>
        <v>109</v>
      </c>
    </row>
    <row r="99" spans="5:12" x14ac:dyDescent="0.25">
      <c r="E99" t="str">
        <f>IF(Sheet1!D99&gt;120,"Long","Short")</f>
        <v>Long</v>
      </c>
      <c r="F99" t="str">
        <f>_xlfn.CONCAT(Sheet1!A99," -",Sheet1!B99)</f>
        <v>M1097 -Movie_97</v>
      </c>
      <c r="G99" t="str">
        <f>LEFT(Sheet1!F99,3)</f>
        <v>Hin</v>
      </c>
      <c r="H99" t="str">
        <f>RIGHT(Sheet1!G99,2)</f>
        <v>23</v>
      </c>
      <c r="I99">
        <f>LEN(Sheet1!B99)</f>
        <v>8</v>
      </c>
      <c r="J99" t="str">
        <f>TRIM(Sheet1!C99)</f>
        <v>Thriller</v>
      </c>
      <c r="K99" t="str">
        <f>VLOOKUP(Sheet1!A99,Sheet1!A99:I598,3,0)</f>
        <v>Thriller</v>
      </c>
      <c r="L99">
        <f>VLOOKUP(Sheet1!B99,Sheet1!B99:I598,3,0)</f>
        <v>158</v>
      </c>
    </row>
    <row r="100" spans="5:12" x14ac:dyDescent="0.25">
      <c r="E100" t="str">
        <f>IF(Sheet1!D100&gt;120,"Long","Short")</f>
        <v>Long</v>
      </c>
      <c r="F100" t="str">
        <f>_xlfn.CONCAT(Sheet1!A100," -",Sheet1!B100)</f>
        <v>M1098 -Movie_98</v>
      </c>
      <c r="G100" t="str">
        <f>LEFT(Sheet1!F100,3)</f>
        <v>Spa</v>
      </c>
      <c r="H100" t="str">
        <f>RIGHT(Sheet1!G100,2)</f>
        <v>19</v>
      </c>
      <c r="I100">
        <f>LEN(Sheet1!B100)</f>
        <v>8</v>
      </c>
      <c r="J100" t="str">
        <f>TRIM(Sheet1!C100)</f>
        <v>Thriller</v>
      </c>
      <c r="K100" t="str">
        <f>VLOOKUP(Sheet1!A100,Sheet1!A100:I599,3,0)</f>
        <v>Thriller</v>
      </c>
      <c r="L100">
        <f>VLOOKUP(Sheet1!B100,Sheet1!B100:I599,3,0)</f>
        <v>186</v>
      </c>
    </row>
    <row r="101" spans="5:12" x14ac:dyDescent="0.25">
      <c r="E101" t="str">
        <f>IF(Sheet1!D101&gt;120,"Long","Short")</f>
        <v>Long</v>
      </c>
      <c r="F101" t="str">
        <f>_xlfn.CONCAT(Sheet1!A101," -",Sheet1!B101)</f>
        <v>M1099 -Movie_99</v>
      </c>
      <c r="G101" t="str">
        <f>LEFT(Sheet1!F101,3)</f>
        <v>Fre</v>
      </c>
      <c r="H101" t="str">
        <f>RIGHT(Sheet1!G101,2)</f>
        <v>87</v>
      </c>
      <c r="I101">
        <f>LEN(Sheet1!B101)</f>
        <v>8</v>
      </c>
      <c r="J101" t="str">
        <f>TRIM(Sheet1!C101)</f>
        <v>Drama</v>
      </c>
      <c r="K101" t="str">
        <f>VLOOKUP(Sheet1!A101,Sheet1!A101:I600,3,0)</f>
        <v>Drama</v>
      </c>
      <c r="L101">
        <f>VLOOKUP(Sheet1!B101,Sheet1!B101:I600,3,0)</f>
        <v>162</v>
      </c>
    </row>
    <row r="102" spans="5:12" x14ac:dyDescent="0.25">
      <c r="E102" t="str">
        <f>IF(Sheet1!D102&gt;120,"Long","Short")</f>
        <v>Long</v>
      </c>
      <c r="F102" t="str">
        <f>_xlfn.CONCAT(Sheet1!A102," -",Sheet1!B102)</f>
        <v>M1100 -Movie_100</v>
      </c>
      <c r="G102" t="str">
        <f>LEFT(Sheet1!F102,3)</f>
        <v>Eng</v>
      </c>
      <c r="H102" t="str">
        <f>RIGHT(Sheet1!G102,2)</f>
        <v>88</v>
      </c>
      <c r="I102">
        <f>LEN(Sheet1!B102)</f>
        <v>9</v>
      </c>
      <c r="J102" t="str">
        <f>TRIM(Sheet1!C102)</f>
        <v>Horror</v>
      </c>
      <c r="K102" t="str">
        <f>VLOOKUP(Sheet1!A102,Sheet1!A102:I601,3,0)</f>
        <v>Horror</v>
      </c>
      <c r="L102">
        <f>VLOOKUP(Sheet1!B102,Sheet1!B102:I601,3,0)</f>
        <v>122</v>
      </c>
    </row>
    <row r="103" spans="5:12" x14ac:dyDescent="0.25">
      <c r="E103" t="str">
        <f>IF(Sheet1!D103&gt;120,"Long","Short")</f>
        <v>Short</v>
      </c>
      <c r="F103" t="str">
        <f>_xlfn.CONCAT(Sheet1!A103," -",Sheet1!B103)</f>
        <v>M1101 -Movie_101</v>
      </c>
      <c r="G103" t="str">
        <f>LEFT(Sheet1!F103,3)</f>
        <v>Jap</v>
      </c>
      <c r="H103" t="str">
        <f>RIGHT(Sheet1!G103,2)</f>
        <v>86</v>
      </c>
      <c r="I103">
        <f>LEN(Sheet1!B103)</f>
        <v>9</v>
      </c>
      <c r="J103" t="str">
        <f>TRIM(Sheet1!C103)</f>
        <v>Horror</v>
      </c>
      <c r="K103" t="str">
        <f>VLOOKUP(Sheet1!A103,Sheet1!A103:I602,3,0)</f>
        <v>Horror</v>
      </c>
      <c r="L103">
        <f>VLOOKUP(Sheet1!B103,Sheet1!B103:I602,3,0)</f>
        <v>97</v>
      </c>
    </row>
    <row r="104" spans="5:12" x14ac:dyDescent="0.25">
      <c r="E104" t="str">
        <f>IF(Sheet1!D104&gt;120,"Long","Short")</f>
        <v>Short</v>
      </c>
      <c r="F104" t="str">
        <f>_xlfn.CONCAT(Sheet1!A104," -",Sheet1!B104)</f>
        <v>M1102 -Movie_102</v>
      </c>
      <c r="G104" t="str">
        <f>LEFT(Sheet1!F104,3)</f>
        <v>Ger</v>
      </c>
      <c r="H104" t="str">
        <f>RIGHT(Sheet1!G104,2)</f>
        <v>05</v>
      </c>
      <c r="I104">
        <f>LEN(Sheet1!B104)</f>
        <v>9</v>
      </c>
      <c r="J104" t="str">
        <f>TRIM(Sheet1!C104)</f>
        <v>Sci-Fi</v>
      </c>
      <c r="K104" t="str">
        <f>VLOOKUP(Sheet1!A104,Sheet1!A104:I603,3,0)</f>
        <v>Sci-Fi</v>
      </c>
      <c r="L104">
        <f>VLOOKUP(Sheet1!B104,Sheet1!B104:I603,3,0)</f>
        <v>61</v>
      </c>
    </row>
    <row r="105" spans="5:12" x14ac:dyDescent="0.25">
      <c r="E105" t="str">
        <f>IF(Sheet1!D105&gt;120,"Long","Short")</f>
        <v>Short</v>
      </c>
      <c r="F105" t="str">
        <f>_xlfn.CONCAT(Sheet1!A105," -",Sheet1!B105)</f>
        <v>M1103 -Movie_103</v>
      </c>
      <c r="G105" t="str">
        <f>LEFT(Sheet1!F105,3)</f>
        <v>Fre</v>
      </c>
      <c r="H105" t="str">
        <f>RIGHT(Sheet1!G105,2)</f>
        <v>03</v>
      </c>
      <c r="I105">
        <f>LEN(Sheet1!B105)</f>
        <v>9</v>
      </c>
      <c r="J105" t="str">
        <f>TRIM(Sheet1!C105)</f>
        <v>Comedy</v>
      </c>
      <c r="K105" t="str">
        <f>VLOOKUP(Sheet1!A105,Sheet1!A105:I604,3,0)</f>
        <v>Comedy</v>
      </c>
      <c r="L105">
        <f>VLOOKUP(Sheet1!B105,Sheet1!B105:I604,3,0)</f>
        <v>87</v>
      </c>
    </row>
    <row r="106" spans="5:12" x14ac:dyDescent="0.25">
      <c r="E106" t="str">
        <f>IF(Sheet1!D106&gt;120,"Long","Short")</f>
        <v>Long</v>
      </c>
      <c r="F106" t="str">
        <f>_xlfn.CONCAT(Sheet1!A106," -",Sheet1!B106)</f>
        <v>M1104 -Movie_104</v>
      </c>
      <c r="G106" t="str">
        <f>LEFT(Sheet1!F106,3)</f>
        <v>Hin</v>
      </c>
      <c r="H106" t="str">
        <f>RIGHT(Sheet1!G106,2)</f>
        <v>01</v>
      </c>
      <c r="I106">
        <f>LEN(Sheet1!B106)</f>
        <v>9</v>
      </c>
      <c r="J106" t="str">
        <f>TRIM(Sheet1!C106)</f>
        <v>Horror</v>
      </c>
      <c r="K106" t="str">
        <f>VLOOKUP(Sheet1!A106,Sheet1!A106:I605,3,0)</f>
        <v>Horror</v>
      </c>
      <c r="L106">
        <f>VLOOKUP(Sheet1!B106,Sheet1!B106:I605,3,0)</f>
        <v>168</v>
      </c>
    </row>
    <row r="107" spans="5:12" x14ac:dyDescent="0.25">
      <c r="E107" t="str">
        <f>IF(Sheet1!D107&gt;120,"Long","Short")</f>
        <v>Short</v>
      </c>
      <c r="F107" t="str">
        <f>_xlfn.CONCAT(Sheet1!A107," -",Sheet1!B107)</f>
        <v>M1105 -Movie_105</v>
      </c>
      <c r="G107" t="str">
        <f>LEFT(Sheet1!F107,3)</f>
        <v>Eng</v>
      </c>
      <c r="H107" t="str">
        <f>RIGHT(Sheet1!G107,2)</f>
        <v>15</v>
      </c>
      <c r="I107">
        <f>LEN(Sheet1!B107)</f>
        <v>9</v>
      </c>
      <c r="J107" t="str">
        <f>TRIM(Sheet1!C107)</f>
        <v>Drama</v>
      </c>
      <c r="K107" t="str">
        <f>VLOOKUP(Sheet1!A107,Sheet1!A107:I606,3,0)</f>
        <v>Drama</v>
      </c>
      <c r="L107">
        <f>VLOOKUP(Sheet1!B107,Sheet1!B107:I606,3,0)</f>
        <v>116</v>
      </c>
    </row>
    <row r="108" spans="5:12" x14ac:dyDescent="0.25">
      <c r="E108" t="str">
        <f>IF(Sheet1!D108&gt;120,"Long","Short")</f>
        <v>Short</v>
      </c>
      <c r="F108" t="str">
        <f>_xlfn.CONCAT(Sheet1!A108," -",Sheet1!B108)</f>
        <v>M1106 -Movie_106</v>
      </c>
      <c r="G108" t="str">
        <f>LEFT(Sheet1!F108,3)</f>
        <v>Jap</v>
      </c>
      <c r="H108" t="str">
        <f>RIGHT(Sheet1!G108,2)</f>
        <v>03</v>
      </c>
      <c r="I108">
        <f>LEN(Sheet1!B108)</f>
        <v>9</v>
      </c>
      <c r="J108" t="str">
        <f>TRIM(Sheet1!C108)</f>
        <v>Action</v>
      </c>
      <c r="K108" t="str">
        <f>VLOOKUP(Sheet1!A108,Sheet1!A108:I607,3,0)</f>
        <v>Action</v>
      </c>
      <c r="L108">
        <f>VLOOKUP(Sheet1!B108,Sheet1!B108:I607,3,0)</f>
        <v>105</v>
      </c>
    </row>
    <row r="109" spans="5:12" x14ac:dyDescent="0.25">
      <c r="E109" t="str">
        <f>IF(Sheet1!D109&gt;120,"Long","Short")</f>
        <v>Long</v>
      </c>
      <c r="F109" t="str">
        <f>_xlfn.CONCAT(Sheet1!A109," -",Sheet1!B109)</f>
        <v>M1107 -Movie_107</v>
      </c>
      <c r="G109" t="str">
        <f>LEFT(Sheet1!F109,3)</f>
        <v>Hin</v>
      </c>
      <c r="H109" t="str">
        <f>RIGHT(Sheet1!G109,2)</f>
        <v>89</v>
      </c>
      <c r="I109">
        <f>LEN(Sheet1!B109)</f>
        <v>9</v>
      </c>
      <c r="J109" t="str">
        <f>TRIM(Sheet1!C109)</f>
        <v>Comedy</v>
      </c>
      <c r="K109" t="str">
        <f>VLOOKUP(Sheet1!A109,Sheet1!A109:I608,3,0)</f>
        <v>Comedy</v>
      </c>
      <c r="L109">
        <f>VLOOKUP(Sheet1!B109,Sheet1!B109:I608,3,0)</f>
        <v>192</v>
      </c>
    </row>
    <row r="110" spans="5:12" x14ac:dyDescent="0.25">
      <c r="E110" t="str">
        <f>IF(Sheet1!D110&gt;120,"Long","Short")</f>
        <v>Long</v>
      </c>
      <c r="F110" t="str">
        <f>_xlfn.CONCAT(Sheet1!A110," -",Sheet1!B110)</f>
        <v>M1108 -Movie_108</v>
      </c>
      <c r="G110" t="str">
        <f>LEFT(Sheet1!F110,3)</f>
        <v>Eng</v>
      </c>
      <c r="H110" t="str">
        <f>RIGHT(Sheet1!G110,2)</f>
        <v>92</v>
      </c>
      <c r="I110">
        <f>LEN(Sheet1!B110)</f>
        <v>9</v>
      </c>
      <c r="J110" t="str">
        <f>TRIM(Sheet1!C110)</f>
        <v>Action</v>
      </c>
      <c r="K110" t="str">
        <f>VLOOKUP(Sheet1!A110,Sheet1!A110:I609,3,0)</f>
        <v>Action</v>
      </c>
      <c r="L110">
        <f>VLOOKUP(Sheet1!B110,Sheet1!B110:I609,3,0)</f>
        <v>178</v>
      </c>
    </row>
    <row r="111" spans="5:12" x14ac:dyDescent="0.25">
      <c r="E111" t="str">
        <f>IF(Sheet1!D111&gt;120,"Long","Short")</f>
        <v>Short</v>
      </c>
      <c r="F111" t="str">
        <f>_xlfn.CONCAT(Sheet1!A111," -",Sheet1!B111)</f>
        <v>M1109 -Movie_109</v>
      </c>
      <c r="G111" t="str">
        <f>LEFT(Sheet1!F111,3)</f>
        <v>Fre</v>
      </c>
      <c r="H111" t="str">
        <f>RIGHT(Sheet1!G111,2)</f>
        <v>18</v>
      </c>
      <c r="I111">
        <f>LEN(Sheet1!B111)</f>
        <v>9</v>
      </c>
      <c r="J111" t="str">
        <f>TRIM(Sheet1!C111)</f>
        <v>Drama</v>
      </c>
      <c r="K111" t="str">
        <f>VLOOKUP(Sheet1!A111,Sheet1!A111:I610,3,0)</f>
        <v>Drama</v>
      </c>
      <c r="L111">
        <f>VLOOKUP(Sheet1!B111,Sheet1!B111:I610,3,0)</f>
        <v>72</v>
      </c>
    </row>
    <row r="112" spans="5:12" x14ac:dyDescent="0.25">
      <c r="E112" t="str">
        <f>IF(Sheet1!D112&gt;120,"Long","Short")</f>
        <v>Long</v>
      </c>
      <c r="F112" t="str">
        <f>_xlfn.CONCAT(Sheet1!A112," -",Sheet1!B112)</f>
        <v>M1110 -Movie_110</v>
      </c>
      <c r="G112" t="str">
        <f>LEFT(Sheet1!F112,3)</f>
        <v>Eng</v>
      </c>
      <c r="H112" t="str">
        <f>RIGHT(Sheet1!G112,2)</f>
        <v>12</v>
      </c>
      <c r="I112">
        <f>LEN(Sheet1!B112)</f>
        <v>9</v>
      </c>
      <c r="J112" t="str">
        <f>TRIM(Sheet1!C112)</f>
        <v>Thriller</v>
      </c>
      <c r="K112" t="str">
        <f>VLOOKUP(Sheet1!A112,Sheet1!A112:I611,3,0)</f>
        <v>Thriller</v>
      </c>
      <c r="L112">
        <f>VLOOKUP(Sheet1!B112,Sheet1!B112:I611,3,0)</f>
        <v>123</v>
      </c>
    </row>
    <row r="113" spans="5:12" x14ac:dyDescent="0.25">
      <c r="E113" t="str">
        <f>IF(Sheet1!D113&gt;120,"Long","Short")</f>
        <v>Short</v>
      </c>
      <c r="F113" t="str">
        <f>_xlfn.CONCAT(Sheet1!A113," -",Sheet1!B113)</f>
        <v>M1111 -Movie_111</v>
      </c>
      <c r="G113" t="str">
        <f>LEFT(Sheet1!F113,3)</f>
        <v>Spa</v>
      </c>
      <c r="H113" t="str">
        <f>RIGHT(Sheet1!G113,2)</f>
        <v>05</v>
      </c>
      <c r="I113">
        <f>LEN(Sheet1!B113)</f>
        <v>9</v>
      </c>
      <c r="J113" t="str">
        <f>TRIM(Sheet1!C113)</f>
        <v>Drama</v>
      </c>
      <c r="K113" t="str">
        <f>VLOOKUP(Sheet1!A113,Sheet1!A113:I612,3,0)</f>
        <v>Drama</v>
      </c>
      <c r="L113">
        <f>VLOOKUP(Sheet1!B113,Sheet1!B113:I612,3,0)</f>
        <v>91</v>
      </c>
    </row>
    <row r="114" spans="5:12" x14ac:dyDescent="0.25">
      <c r="E114" t="str">
        <f>IF(Sheet1!D114&gt;120,"Long","Short")</f>
        <v>Long</v>
      </c>
      <c r="F114" t="str">
        <f>_xlfn.CONCAT(Sheet1!A114," -",Sheet1!B114)</f>
        <v>M1112 -Movie_112</v>
      </c>
      <c r="G114" t="str">
        <f>LEFT(Sheet1!F114,3)</f>
        <v>Fre</v>
      </c>
      <c r="H114" t="str">
        <f>RIGHT(Sheet1!G114,2)</f>
        <v>12</v>
      </c>
      <c r="I114">
        <f>LEN(Sheet1!B114)</f>
        <v>9</v>
      </c>
      <c r="J114" t="str">
        <f>TRIM(Sheet1!C114)</f>
        <v>Action</v>
      </c>
      <c r="K114" t="str">
        <f>VLOOKUP(Sheet1!A114,Sheet1!A114:I613,3,0)</f>
        <v>Action</v>
      </c>
      <c r="L114">
        <f>VLOOKUP(Sheet1!B114,Sheet1!B114:I613,3,0)</f>
        <v>176</v>
      </c>
    </row>
    <row r="115" spans="5:12" x14ac:dyDescent="0.25">
      <c r="E115" t="str">
        <f>IF(Sheet1!D115&gt;120,"Long","Short")</f>
        <v>Short</v>
      </c>
      <c r="F115" t="str">
        <f>_xlfn.CONCAT(Sheet1!A115," -",Sheet1!B115)</f>
        <v>M1113 -Movie_113</v>
      </c>
      <c r="G115" t="str">
        <f>LEFT(Sheet1!F115,3)</f>
        <v>Ger</v>
      </c>
      <c r="H115" t="str">
        <f>RIGHT(Sheet1!G115,2)</f>
        <v>82</v>
      </c>
      <c r="I115">
        <f>LEN(Sheet1!B115)</f>
        <v>9</v>
      </c>
      <c r="J115" t="str">
        <f>TRIM(Sheet1!C115)</f>
        <v>Comedy</v>
      </c>
      <c r="K115" t="str">
        <f>VLOOKUP(Sheet1!A115,Sheet1!A115:I614,3,0)</f>
        <v>Comedy</v>
      </c>
      <c r="L115">
        <f>VLOOKUP(Sheet1!B115,Sheet1!B115:I614,3,0)</f>
        <v>94</v>
      </c>
    </row>
    <row r="116" spans="5:12" x14ac:dyDescent="0.25">
      <c r="E116" t="str">
        <f>IF(Sheet1!D116&gt;120,"Long","Short")</f>
        <v>Long</v>
      </c>
      <c r="F116" t="str">
        <f>_xlfn.CONCAT(Sheet1!A116," -",Sheet1!B116)</f>
        <v>M1114 -Movie_114</v>
      </c>
      <c r="G116" t="str">
        <f>LEFT(Sheet1!F116,3)</f>
        <v>Hin</v>
      </c>
      <c r="H116" t="str">
        <f>RIGHT(Sheet1!G116,2)</f>
        <v>82</v>
      </c>
      <c r="I116">
        <f>LEN(Sheet1!B116)</f>
        <v>9</v>
      </c>
      <c r="J116" t="str">
        <f>TRIM(Sheet1!C116)</f>
        <v>Sci-Fi</v>
      </c>
      <c r="K116" t="str">
        <f>VLOOKUP(Sheet1!A116,Sheet1!A116:I615,3,0)</f>
        <v>Sci-Fi</v>
      </c>
      <c r="L116">
        <f>VLOOKUP(Sheet1!B116,Sheet1!B116:I615,3,0)</f>
        <v>178</v>
      </c>
    </row>
    <row r="117" spans="5:12" x14ac:dyDescent="0.25">
      <c r="E117" t="str">
        <f>IF(Sheet1!D117&gt;120,"Long","Short")</f>
        <v>Long</v>
      </c>
      <c r="F117" t="str">
        <f>_xlfn.CONCAT(Sheet1!A117," -",Sheet1!B117)</f>
        <v>M1115 -Movie_115</v>
      </c>
      <c r="G117" t="str">
        <f>LEFT(Sheet1!F117,3)</f>
        <v>Spa</v>
      </c>
      <c r="H117" t="str">
        <f>RIGHT(Sheet1!G117,2)</f>
        <v>82</v>
      </c>
      <c r="I117">
        <f>LEN(Sheet1!B117)</f>
        <v>9</v>
      </c>
      <c r="J117" t="str">
        <f>TRIM(Sheet1!C117)</f>
        <v>Horror</v>
      </c>
      <c r="K117" t="str">
        <f>VLOOKUP(Sheet1!A117,Sheet1!A117:I616,3,0)</f>
        <v>Horror</v>
      </c>
      <c r="L117">
        <f>VLOOKUP(Sheet1!B117,Sheet1!B117:I616,3,0)</f>
        <v>195</v>
      </c>
    </row>
    <row r="118" spans="5:12" x14ac:dyDescent="0.25">
      <c r="E118" t="str">
        <f>IF(Sheet1!D118&gt;120,"Long","Short")</f>
        <v>Long</v>
      </c>
      <c r="F118" t="str">
        <f>_xlfn.CONCAT(Sheet1!A118," -",Sheet1!B118)</f>
        <v>M1116 -Movie_116</v>
      </c>
      <c r="G118" t="str">
        <f>LEFT(Sheet1!F118,3)</f>
        <v>Ger</v>
      </c>
      <c r="H118" t="str">
        <f>RIGHT(Sheet1!G118,2)</f>
        <v>88</v>
      </c>
      <c r="I118">
        <f>LEN(Sheet1!B118)</f>
        <v>9</v>
      </c>
      <c r="J118" t="str">
        <f>TRIM(Sheet1!C118)</f>
        <v>Drama</v>
      </c>
      <c r="K118" t="str">
        <f>VLOOKUP(Sheet1!A118,Sheet1!A118:I617,3,0)</f>
        <v>Drama</v>
      </c>
      <c r="L118">
        <f>VLOOKUP(Sheet1!B118,Sheet1!B118:I617,3,0)</f>
        <v>141</v>
      </c>
    </row>
    <row r="119" spans="5:12" x14ac:dyDescent="0.25">
      <c r="E119" t="str">
        <f>IF(Sheet1!D119&gt;120,"Long","Short")</f>
        <v>Long</v>
      </c>
      <c r="F119" t="str">
        <f>_xlfn.CONCAT(Sheet1!A119," -",Sheet1!B119)</f>
        <v>M1117 -Movie_117</v>
      </c>
      <c r="G119" t="str">
        <f>LEFT(Sheet1!F119,3)</f>
        <v>Eng</v>
      </c>
      <c r="H119" t="str">
        <f>RIGHT(Sheet1!G119,2)</f>
        <v>25</v>
      </c>
      <c r="I119">
        <f>LEN(Sheet1!B119)</f>
        <v>9</v>
      </c>
      <c r="J119" t="str">
        <f>TRIM(Sheet1!C119)</f>
        <v>Comedy</v>
      </c>
      <c r="K119" t="str">
        <f>VLOOKUP(Sheet1!A119,Sheet1!A119:I618,3,0)</f>
        <v>Comedy</v>
      </c>
      <c r="L119">
        <f>VLOOKUP(Sheet1!B119,Sheet1!B119:I618,3,0)</f>
        <v>173</v>
      </c>
    </row>
    <row r="120" spans="5:12" x14ac:dyDescent="0.25">
      <c r="E120" t="str">
        <f>IF(Sheet1!D120&gt;120,"Long","Short")</f>
        <v>Long</v>
      </c>
      <c r="F120" t="str">
        <f>_xlfn.CONCAT(Sheet1!A120," -",Sheet1!B120)</f>
        <v>M1118 -Movie_118</v>
      </c>
      <c r="G120" t="str">
        <f>LEFT(Sheet1!F120,3)</f>
        <v>Spa</v>
      </c>
      <c r="H120" t="str">
        <f>RIGHT(Sheet1!G120,2)</f>
        <v>01</v>
      </c>
      <c r="I120">
        <f>LEN(Sheet1!B120)</f>
        <v>9</v>
      </c>
      <c r="J120" t="str">
        <f>TRIM(Sheet1!C120)</f>
        <v>Horror</v>
      </c>
      <c r="K120" t="str">
        <f>VLOOKUP(Sheet1!A120,Sheet1!A120:I619,3,0)</f>
        <v>Horror</v>
      </c>
      <c r="L120">
        <f>VLOOKUP(Sheet1!B120,Sheet1!B120:I619,3,0)</f>
        <v>189</v>
      </c>
    </row>
    <row r="121" spans="5:12" x14ac:dyDescent="0.25">
      <c r="E121" t="str">
        <f>IF(Sheet1!D121&gt;120,"Long","Short")</f>
        <v>Long</v>
      </c>
      <c r="F121" t="str">
        <f>_xlfn.CONCAT(Sheet1!A121," -",Sheet1!B121)</f>
        <v>M1119 -Movie_119</v>
      </c>
      <c r="G121" t="str">
        <f>LEFT(Sheet1!F121,3)</f>
        <v>Ger</v>
      </c>
      <c r="H121" t="str">
        <f>RIGHT(Sheet1!G121,2)</f>
        <v>10</v>
      </c>
      <c r="I121">
        <f>LEN(Sheet1!B121)</f>
        <v>9</v>
      </c>
      <c r="J121" t="str">
        <f>TRIM(Sheet1!C121)</f>
        <v>Thriller</v>
      </c>
      <c r="K121" t="str">
        <f>VLOOKUP(Sheet1!A121,Sheet1!A121:I620,3,0)</f>
        <v>Thriller</v>
      </c>
      <c r="L121">
        <f>VLOOKUP(Sheet1!B121,Sheet1!B121:I620,3,0)</f>
        <v>169</v>
      </c>
    </row>
    <row r="122" spans="5:12" x14ac:dyDescent="0.25">
      <c r="E122" t="str">
        <f>IF(Sheet1!D122&gt;120,"Long","Short")</f>
        <v>Long</v>
      </c>
      <c r="F122" t="str">
        <f>_xlfn.CONCAT(Sheet1!A122," -",Sheet1!B122)</f>
        <v>M1120 -Movie_120</v>
      </c>
      <c r="G122" t="str">
        <f>LEFT(Sheet1!F122,3)</f>
        <v>Fre</v>
      </c>
      <c r="H122" t="str">
        <f>RIGHT(Sheet1!G122,2)</f>
        <v>13</v>
      </c>
      <c r="I122">
        <f>LEN(Sheet1!B122)</f>
        <v>9</v>
      </c>
      <c r="J122" t="str">
        <f>TRIM(Sheet1!C122)</f>
        <v>Thriller</v>
      </c>
      <c r="K122" t="str">
        <f>VLOOKUP(Sheet1!A122,Sheet1!A122:I621,3,0)</f>
        <v>Thriller</v>
      </c>
      <c r="L122">
        <f>VLOOKUP(Sheet1!B122,Sheet1!B122:I621,3,0)</f>
        <v>200</v>
      </c>
    </row>
    <row r="123" spans="5:12" x14ac:dyDescent="0.25">
      <c r="E123" t="str">
        <f>IF(Sheet1!D123&gt;120,"Long","Short")</f>
        <v>Long</v>
      </c>
      <c r="F123" t="str">
        <f>_xlfn.CONCAT(Sheet1!A123," -",Sheet1!B123)</f>
        <v>M1121 -Movie_121</v>
      </c>
      <c r="G123" t="str">
        <f>LEFT(Sheet1!F123,3)</f>
        <v>Eng</v>
      </c>
      <c r="H123" t="str">
        <f>RIGHT(Sheet1!G123,2)</f>
        <v>09</v>
      </c>
      <c r="I123">
        <f>LEN(Sheet1!B123)</f>
        <v>9</v>
      </c>
      <c r="J123" t="str">
        <f>TRIM(Sheet1!C123)</f>
        <v>Horror</v>
      </c>
      <c r="K123" t="str">
        <f>VLOOKUP(Sheet1!A123,Sheet1!A123:I622,3,0)</f>
        <v>Horror</v>
      </c>
      <c r="L123">
        <f>VLOOKUP(Sheet1!B123,Sheet1!B123:I622,3,0)</f>
        <v>174</v>
      </c>
    </row>
    <row r="124" spans="5:12" x14ac:dyDescent="0.25">
      <c r="E124" t="str">
        <f>IF(Sheet1!D124&gt;120,"Long","Short")</f>
        <v>Short</v>
      </c>
      <c r="F124" t="str">
        <f>_xlfn.CONCAT(Sheet1!A124," -",Sheet1!B124)</f>
        <v>M1122 -Movie_122</v>
      </c>
      <c r="G124" t="str">
        <f>LEFT(Sheet1!F124,3)</f>
        <v>Ger</v>
      </c>
      <c r="H124" t="str">
        <f>RIGHT(Sheet1!G124,2)</f>
        <v>89</v>
      </c>
      <c r="I124">
        <f>LEN(Sheet1!B124)</f>
        <v>9</v>
      </c>
      <c r="J124" t="str">
        <f>TRIM(Sheet1!C124)</f>
        <v>Thriller</v>
      </c>
      <c r="K124" t="str">
        <f>VLOOKUP(Sheet1!A124,Sheet1!A124:I623,3,0)</f>
        <v>Thriller</v>
      </c>
      <c r="L124">
        <f>VLOOKUP(Sheet1!B124,Sheet1!B124:I623,3,0)</f>
        <v>100</v>
      </c>
    </row>
    <row r="125" spans="5:12" x14ac:dyDescent="0.25">
      <c r="E125" t="str">
        <f>IF(Sheet1!D125&gt;120,"Long","Short")</f>
        <v>Long</v>
      </c>
      <c r="F125" t="str">
        <f>_xlfn.CONCAT(Sheet1!A125," -",Sheet1!B125)</f>
        <v>M1123 -Movie_123</v>
      </c>
      <c r="G125" t="str">
        <f>LEFT(Sheet1!F125,3)</f>
        <v>Eng</v>
      </c>
      <c r="H125" t="str">
        <f>RIGHT(Sheet1!G125,2)</f>
        <v>18</v>
      </c>
      <c r="I125">
        <f>LEN(Sheet1!B125)</f>
        <v>9</v>
      </c>
      <c r="J125" t="str">
        <f>TRIM(Sheet1!C125)</f>
        <v>Comedy</v>
      </c>
      <c r="K125" t="str">
        <f>VLOOKUP(Sheet1!A125,Sheet1!A125:I624,3,0)</f>
        <v>Comedy</v>
      </c>
      <c r="L125">
        <f>VLOOKUP(Sheet1!B125,Sheet1!B125:I624,3,0)</f>
        <v>181</v>
      </c>
    </row>
    <row r="126" spans="5:12" x14ac:dyDescent="0.25">
      <c r="E126" t="str">
        <f>IF(Sheet1!D126&gt;120,"Long","Short")</f>
        <v>Long</v>
      </c>
      <c r="F126" t="str">
        <f>_xlfn.CONCAT(Sheet1!A126," -",Sheet1!B126)</f>
        <v>M1124 -Movie_124</v>
      </c>
      <c r="G126" t="str">
        <f>LEFT(Sheet1!F126,3)</f>
        <v>Ger</v>
      </c>
      <c r="H126" t="str">
        <f>RIGHT(Sheet1!G126,2)</f>
        <v>12</v>
      </c>
      <c r="I126">
        <f>LEN(Sheet1!B126)</f>
        <v>9</v>
      </c>
      <c r="J126" t="str">
        <f>TRIM(Sheet1!C126)</f>
        <v>Drama</v>
      </c>
      <c r="K126" t="str">
        <f>VLOOKUP(Sheet1!A126,Sheet1!A126:I625,3,0)</f>
        <v>Drama</v>
      </c>
      <c r="L126">
        <f>VLOOKUP(Sheet1!B126,Sheet1!B126:I625,3,0)</f>
        <v>175</v>
      </c>
    </row>
    <row r="127" spans="5:12" x14ac:dyDescent="0.25">
      <c r="E127" t="str">
        <f>IF(Sheet1!D127&gt;120,"Long","Short")</f>
        <v>Long</v>
      </c>
      <c r="F127" t="str">
        <f>_xlfn.CONCAT(Sheet1!A127," -",Sheet1!B127)</f>
        <v>M1125 -Movie_125</v>
      </c>
      <c r="G127" t="str">
        <f>LEFT(Sheet1!F127,3)</f>
        <v>Hin</v>
      </c>
      <c r="H127" t="str">
        <f>RIGHT(Sheet1!G127,2)</f>
        <v>88</v>
      </c>
      <c r="I127">
        <f>LEN(Sheet1!B127)</f>
        <v>9</v>
      </c>
      <c r="J127" t="str">
        <f>TRIM(Sheet1!C127)</f>
        <v>Comedy</v>
      </c>
      <c r="K127" t="str">
        <f>VLOOKUP(Sheet1!A127,Sheet1!A127:I626,3,0)</f>
        <v>Comedy</v>
      </c>
      <c r="L127">
        <f>VLOOKUP(Sheet1!B127,Sheet1!B127:I626,3,0)</f>
        <v>126</v>
      </c>
    </row>
    <row r="128" spans="5:12" x14ac:dyDescent="0.25">
      <c r="E128" t="str">
        <f>IF(Sheet1!D128&gt;120,"Long","Short")</f>
        <v>Long</v>
      </c>
      <c r="F128" t="str">
        <f>_xlfn.CONCAT(Sheet1!A128," -",Sheet1!B128)</f>
        <v>M1126 -Movie_126</v>
      </c>
      <c r="G128" t="str">
        <f>LEFT(Sheet1!F128,3)</f>
        <v>Fre</v>
      </c>
      <c r="H128" t="str">
        <f>RIGHT(Sheet1!G128,2)</f>
        <v>00</v>
      </c>
      <c r="I128">
        <f>LEN(Sheet1!B128)</f>
        <v>9</v>
      </c>
      <c r="J128" t="str">
        <f>TRIM(Sheet1!C128)</f>
        <v>Comedy</v>
      </c>
      <c r="K128" t="str">
        <f>VLOOKUP(Sheet1!A128,Sheet1!A128:I627,3,0)</f>
        <v>Comedy</v>
      </c>
      <c r="L128">
        <f>VLOOKUP(Sheet1!B128,Sheet1!B128:I627,3,0)</f>
        <v>123</v>
      </c>
    </row>
    <row r="129" spans="5:12" x14ac:dyDescent="0.25">
      <c r="E129" t="str">
        <f>IF(Sheet1!D129&gt;120,"Long","Short")</f>
        <v>Long</v>
      </c>
      <c r="F129" t="str">
        <f>_xlfn.CONCAT(Sheet1!A129," -",Sheet1!B129)</f>
        <v>M1127 -Movie_127</v>
      </c>
      <c r="G129" t="str">
        <f>LEFT(Sheet1!F129,3)</f>
        <v>Spa</v>
      </c>
      <c r="H129" t="str">
        <f>RIGHT(Sheet1!G129,2)</f>
        <v>19</v>
      </c>
      <c r="I129">
        <f>LEN(Sheet1!B129)</f>
        <v>9</v>
      </c>
      <c r="J129" t="str">
        <f>TRIM(Sheet1!C129)</f>
        <v>Horror</v>
      </c>
      <c r="K129" t="str">
        <f>VLOOKUP(Sheet1!A129,Sheet1!A129:I628,3,0)</f>
        <v>Horror</v>
      </c>
      <c r="L129">
        <f>VLOOKUP(Sheet1!B129,Sheet1!B129:I628,3,0)</f>
        <v>130</v>
      </c>
    </row>
    <row r="130" spans="5:12" x14ac:dyDescent="0.25">
      <c r="E130" t="str">
        <f>IF(Sheet1!D130&gt;120,"Long","Short")</f>
        <v>Long</v>
      </c>
      <c r="F130" t="str">
        <f>_xlfn.CONCAT(Sheet1!A130," -",Sheet1!B130)</f>
        <v>M1128 -Movie_128</v>
      </c>
      <c r="G130" t="str">
        <f>LEFT(Sheet1!F130,3)</f>
        <v>Ger</v>
      </c>
      <c r="H130" t="str">
        <f>RIGHT(Sheet1!G130,2)</f>
        <v>00</v>
      </c>
      <c r="I130">
        <f>LEN(Sheet1!B130)</f>
        <v>9</v>
      </c>
      <c r="J130" t="str">
        <f>TRIM(Sheet1!C130)</f>
        <v>Sci-Fi</v>
      </c>
      <c r="K130" t="str">
        <f>VLOOKUP(Sheet1!A130,Sheet1!A130:I629,3,0)</f>
        <v>Sci-Fi</v>
      </c>
      <c r="L130">
        <f>VLOOKUP(Sheet1!B130,Sheet1!B130:I629,3,0)</f>
        <v>193</v>
      </c>
    </row>
    <row r="131" spans="5:12" x14ac:dyDescent="0.25">
      <c r="E131" t="str">
        <f>IF(Sheet1!D131&gt;120,"Long","Short")</f>
        <v>Long</v>
      </c>
      <c r="F131" t="str">
        <f>_xlfn.CONCAT(Sheet1!A131," -",Sheet1!B131)</f>
        <v>M1129 -Movie_129</v>
      </c>
      <c r="G131" t="str">
        <f>LEFT(Sheet1!F131,3)</f>
        <v>Eng</v>
      </c>
      <c r="H131" t="str">
        <f>RIGHT(Sheet1!G131,2)</f>
        <v>90</v>
      </c>
      <c r="I131">
        <f>LEN(Sheet1!B131)</f>
        <v>9</v>
      </c>
      <c r="J131" t="str">
        <f>TRIM(Sheet1!C131)</f>
        <v>Sci-Fi</v>
      </c>
      <c r="K131" t="str">
        <f>VLOOKUP(Sheet1!A131,Sheet1!A131:I630,3,0)</f>
        <v>Sci-Fi</v>
      </c>
      <c r="L131">
        <f>VLOOKUP(Sheet1!B131,Sheet1!B131:I630,3,0)</f>
        <v>184</v>
      </c>
    </row>
    <row r="132" spans="5:12" x14ac:dyDescent="0.25">
      <c r="E132" t="str">
        <f>IF(Sheet1!D132&gt;120,"Long","Short")</f>
        <v>Long</v>
      </c>
      <c r="F132" t="str">
        <f>_xlfn.CONCAT(Sheet1!A132," -",Sheet1!B132)</f>
        <v>M1130 -Movie_130</v>
      </c>
      <c r="G132" t="str">
        <f>LEFT(Sheet1!F132,3)</f>
        <v>Fre</v>
      </c>
      <c r="H132" t="str">
        <f>RIGHT(Sheet1!G132,2)</f>
        <v>05</v>
      </c>
      <c r="I132">
        <f>LEN(Sheet1!B132)</f>
        <v>9</v>
      </c>
      <c r="J132" t="str">
        <f>TRIM(Sheet1!C132)</f>
        <v>Drama</v>
      </c>
      <c r="K132" t="str">
        <f>VLOOKUP(Sheet1!A132,Sheet1!A132:I631,3,0)</f>
        <v>Drama</v>
      </c>
      <c r="L132">
        <f>VLOOKUP(Sheet1!B132,Sheet1!B132:I631,3,0)</f>
        <v>121</v>
      </c>
    </row>
    <row r="133" spans="5:12" x14ac:dyDescent="0.25">
      <c r="E133" t="str">
        <f>IF(Sheet1!D133&gt;120,"Long","Short")</f>
        <v>Long</v>
      </c>
      <c r="F133" t="str">
        <f>_xlfn.CONCAT(Sheet1!A133," -",Sheet1!B133)</f>
        <v>M1131 -Movie_131</v>
      </c>
      <c r="G133" t="str">
        <f>LEFT(Sheet1!F133,3)</f>
        <v>Spa</v>
      </c>
      <c r="H133" t="str">
        <f>RIGHT(Sheet1!G133,2)</f>
        <v>19</v>
      </c>
      <c r="I133">
        <f>LEN(Sheet1!B133)</f>
        <v>9</v>
      </c>
      <c r="J133" t="str">
        <f>TRIM(Sheet1!C133)</f>
        <v>Horror</v>
      </c>
      <c r="K133" t="str">
        <f>VLOOKUP(Sheet1!A133,Sheet1!A133:I632,3,0)</f>
        <v>Horror</v>
      </c>
      <c r="L133">
        <f>VLOOKUP(Sheet1!B133,Sheet1!B133:I632,3,0)</f>
        <v>130</v>
      </c>
    </row>
    <row r="134" spans="5:12" x14ac:dyDescent="0.25">
      <c r="E134" t="str">
        <f>IF(Sheet1!D134&gt;120,"Long","Short")</f>
        <v>Long</v>
      </c>
      <c r="F134" t="str">
        <f>_xlfn.CONCAT(Sheet1!A134," -",Sheet1!B134)</f>
        <v>M1132 -Movie_132</v>
      </c>
      <c r="G134" t="str">
        <f>LEFT(Sheet1!F134,3)</f>
        <v>Eng</v>
      </c>
      <c r="H134" t="str">
        <f>RIGHT(Sheet1!G134,2)</f>
        <v>99</v>
      </c>
      <c r="I134">
        <f>LEN(Sheet1!B134)</f>
        <v>9</v>
      </c>
      <c r="J134" t="str">
        <f>TRIM(Sheet1!C134)</f>
        <v>Sci-Fi</v>
      </c>
      <c r="K134" t="str">
        <f>VLOOKUP(Sheet1!A134,Sheet1!A134:I633,3,0)</f>
        <v>Sci-Fi</v>
      </c>
      <c r="L134">
        <f>VLOOKUP(Sheet1!B134,Sheet1!B134:I633,3,0)</f>
        <v>172</v>
      </c>
    </row>
    <row r="135" spans="5:12" x14ac:dyDescent="0.25">
      <c r="E135" t="str">
        <f>IF(Sheet1!D135&gt;120,"Long","Short")</f>
        <v>Short</v>
      </c>
      <c r="F135" t="str">
        <f>_xlfn.CONCAT(Sheet1!A135," -",Sheet1!B135)</f>
        <v>M1133 -Movie_133</v>
      </c>
      <c r="G135" t="str">
        <f>LEFT(Sheet1!F135,3)</f>
        <v>Fre</v>
      </c>
      <c r="H135" t="str">
        <f>RIGHT(Sheet1!G135,2)</f>
        <v>17</v>
      </c>
      <c r="I135">
        <f>LEN(Sheet1!B135)</f>
        <v>9</v>
      </c>
      <c r="J135" t="str">
        <f>TRIM(Sheet1!C135)</f>
        <v>Thriller</v>
      </c>
      <c r="K135" t="str">
        <f>VLOOKUP(Sheet1!A135,Sheet1!A135:I634,3,0)</f>
        <v>Thriller</v>
      </c>
      <c r="L135">
        <f>VLOOKUP(Sheet1!B135,Sheet1!B135:I634,3,0)</f>
        <v>79</v>
      </c>
    </row>
    <row r="136" spans="5:12" x14ac:dyDescent="0.25">
      <c r="E136" t="str">
        <f>IF(Sheet1!D136&gt;120,"Long","Short")</f>
        <v>Long</v>
      </c>
      <c r="F136" t="str">
        <f>_xlfn.CONCAT(Sheet1!A136," -",Sheet1!B136)</f>
        <v>M1134 -Movie_134</v>
      </c>
      <c r="G136" t="str">
        <f>LEFT(Sheet1!F136,3)</f>
        <v>Eng</v>
      </c>
      <c r="H136" t="str">
        <f>RIGHT(Sheet1!G136,2)</f>
        <v>01</v>
      </c>
      <c r="I136">
        <f>LEN(Sheet1!B136)</f>
        <v>9</v>
      </c>
      <c r="J136" t="str">
        <f>TRIM(Sheet1!C136)</f>
        <v>Sci-Fi</v>
      </c>
      <c r="K136" t="str">
        <f>VLOOKUP(Sheet1!A136,Sheet1!A136:I635,3,0)</f>
        <v>Sci-Fi</v>
      </c>
      <c r="L136">
        <f>VLOOKUP(Sheet1!B136,Sheet1!B136:I635,3,0)</f>
        <v>133</v>
      </c>
    </row>
    <row r="137" spans="5:12" x14ac:dyDescent="0.25">
      <c r="E137" t="str">
        <f>IF(Sheet1!D137&gt;120,"Long","Short")</f>
        <v>Short</v>
      </c>
      <c r="F137" t="str">
        <f>_xlfn.CONCAT(Sheet1!A137," -",Sheet1!B137)</f>
        <v>M1135 -Movie_135</v>
      </c>
      <c r="G137" t="str">
        <f>LEFT(Sheet1!F137,3)</f>
        <v>Jap</v>
      </c>
      <c r="H137" t="str">
        <f>RIGHT(Sheet1!G137,2)</f>
        <v>12</v>
      </c>
      <c r="I137">
        <f>LEN(Sheet1!B137)</f>
        <v>9</v>
      </c>
      <c r="J137" t="str">
        <f>TRIM(Sheet1!C137)</f>
        <v>Thriller</v>
      </c>
      <c r="K137" t="str">
        <f>VLOOKUP(Sheet1!A137,Sheet1!A137:I636,3,0)</f>
        <v>Thriller</v>
      </c>
      <c r="L137">
        <f>VLOOKUP(Sheet1!B137,Sheet1!B137:I636,3,0)</f>
        <v>120</v>
      </c>
    </row>
    <row r="138" spans="5:12" x14ac:dyDescent="0.25">
      <c r="E138" t="str">
        <f>IF(Sheet1!D138&gt;120,"Long","Short")</f>
        <v>Long</v>
      </c>
      <c r="F138" t="str">
        <f>_xlfn.CONCAT(Sheet1!A138," -",Sheet1!B138)</f>
        <v>M1136 -Movie_136</v>
      </c>
      <c r="G138" t="str">
        <f>LEFT(Sheet1!F138,3)</f>
        <v>Jap</v>
      </c>
      <c r="H138" t="str">
        <f>RIGHT(Sheet1!G138,2)</f>
        <v>12</v>
      </c>
      <c r="I138">
        <f>LEN(Sheet1!B138)</f>
        <v>9</v>
      </c>
      <c r="J138" t="str">
        <f>TRIM(Sheet1!C138)</f>
        <v>Drama</v>
      </c>
      <c r="K138" t="str">
        <f>VLOOKUP(Sheet1!A138,Sheet1!A138:I637,3,0)</f>
        <v>Drama</v>
      </c>
      <c r="L138">
        <f>VLOOKUP(Sheet1!B138,Sheet1!B138:I637,3,0)</f>
        <v>129</v>
      </c>
    </row>
    <row r="139" spans="5:12" x14ac:dyDescent="0.25">
      <c r="E139" t="str">
        <f>IF(Sheet1!D139&gt;120,"Long","Short")</f>
        <v>Long</v>
      </c>
      <c r="F139" t="str">
        <f>_xlfn.CONCAT(Sheet1!A139," -",Sheet1!B139)</f>
        <v>M1137 -Movie_137</v>
      </c>
      <c r="G139" t="str">
        <f>LEFT(Sheet1!F139,3)</f>
        <v>Fre</v>
      </c>
      <c r="H139" t="str">
        <f>RIGHT(Sheet1!G139,2)</f>
        <v>14</v>
      </c>
      <c r="I139">
        <f>LEN(Sheet1!B139)</f>
        <v>9</v>
      </c>
      <c r="J139" t="str">
        <f>TRIM(Sheet1!C139)</f>
        <v>Comedy</v>
      </c>
      <c r="K139" t="str">
        <f>VLOOKUP(Sheet1!A139,Sheet1!A139:I638,3,0)</f>
        <v>Comedy</v>
      </c>
      <c r="L139">
        <f>VLOOKUP(Sheet1!B139,Sheet1!B139:I638,3,0)</f>
        <v>145</v>
      </c>
    </row>
    <row r="140" spans="5:12" x14ac:dyDescent="0.25">
      <c r="E140" t="str">
        <f>IF(Sheet1!D140&gt;120,"Long","Short")</f>
        <v>Long</v>
      </c>
      <c r="F140" t="str">
        <f>_xlfn.CONCAT(Sheet1!A140," -",Sheet1!B140)</f>
        <v>M1138 -Movie_138</v>
      </c>
      <c r="G140" t="str">
        <f>LEFT(Sheet1!F140,3)</f>
        <v>Spa</v>
      </c>
      <c r="H140" t="str">
        <f>RIGHT(Sheet1!G140,2)</f>
        <v>11</v>
      </c>
      <c r="I140">
        <f>LEN(Sheet1!B140)</f>
        <v>9</v>
      </c>
      <c r="J140" t="str">
        <f>TRIM(Sheet1!C140)</f>
        <v>Comedy</v>
      </c>
      <c r="K140" t="str">
        <f>VLOOKUP(Sheet1!A140,Sheet1!A140:I639,3,0)</f>
        <v>Comedy</v>
      </c>
      <c r="L140">
        <f>VLOOKUP(Sheet1!B140,Sheet1!B140:I639,3,0)</f>
        <v>141</v>
      </c>
    </row>
    <row r="141" spans="5:12" x14ac:dyDescent="0.25">
      <c r="E141" t="str">
        <f>IF(Sheet1!D141&gt;120,"Long","Short")</f>
        <v>Long</v>
      </c>
      <c r="F141" t="str">
        <f>_xlfn.CONCAT(Sheet1!A141," -",Sheet1!B141)</f>
        <v>M1139 -Movie_139</v>
      </c>
      <c r="G141" t="str">
        <f>LEFT(Sheet1!F141,3)</f>
        <v>Spa</v>
      </c>
      <c r="H141" t="str">
        <f>RIGHT(Sheet1!G141,2)</f>
        <v>25</v>
      </c>
      <c r="I141">
        <f>LEN(Sheet1!B141)</f>
        <v>9</v>
      </c>
      <c r="J141" t="str">
        <f>TRIM(Sheet1!C141)</f>
        <v>Sci-Fi</v>
      </c>
      <c r="K141" t="str">
        <f>VLOOKUP(Sheet1!A141,Sheet1!A141:I640,3,0)</f>
        <v>Sci-Fi</v>
      </c>
      <c r="L141">
        <f>VLOOKUP(Sheet1!B141,Sheet1!B141:I640,3,0)</f>
        <v>198</v>
      </c>
    </row>
    <row r="142" spans="5:12" x14ac:dyDescent="0.25">
      <c r="E142" t="str">
        <f>IF(Sheet1!D142&gt;120,"Long","Short")</f>
        <v>Short</v>
      </c>
      <c r="F142" t="str">
        <f>_xlfn.CONCAT(Sheet1!A142," -",Sheet1!B142)</f>
        <v>M1140 -Movie_140</v>
      </c>
      <c r="G142" t="str">
        <f>LEFT(Sheet1!F142,3)</f>
        <v>Eng</v>
      </c>
      <c r="H142" t="str">
        <f>RIGHT(Sheet1!G142,2)</f>
        <v>16</v>
      </c>
      <c r="I142">
        <f>LEN(Sheet1!B142)</f>
        <v>9</v>
      </c>
      <c r="J142" t="str">
        <f>TRIM(Sheet1!C142)</f>
        <v>Thriller</v>
      </c>
      <c r="K142" t="str">
        <f>VLOOKUP(Sheet1!A142,Sheet1!A142:I641,3,0)</f>
        <v>Thriller</v>
      </c>
      <c r="L142">
        <f>VLOOKUP(Sheet1!B142,Sheet1!B142:I641,3,0)</f>
        <v>80</v>
      </c>
    </row>
    <row r="143" spans="5:12" x14ac:dyDescent="0.25">
      <c r="E143" t="str">
        <f>IF(Sheet1!D143&gt;120,"Long","Short")</f>
        <v>Short</v>
      </c>
      <c r="F143" t="str">
        <f>_xlfn.CONCAT(Sheet1!A143," -",Sheet1!B143)</f>
        <v>M1141 -Movie_141</v>
      </c>
      <c r="G143" t="str">
        <f>LEFT(Sheet1!F143,3)</f>
        <v>Fre</v>
      </c>
      <c r="H143" t="str">
        <f>RIGHT(Sheet1!G143,2)</f>
        <v>99</v>
      </c>
      <c r="I143">
        <f>LEN(Sheet1!B143)</f>
        <v>9</v>
      </c>
      <c r="J143" t="str">
        <f>TRIM(Sheet1!C143)</f>
        <v>Action</v>
      </c>
      <c r="K143" t="str">
        <f>VLOOKUP(Sheet1!A143,Sheet1!A143:I642,3,0)</f>
        <v>Action</v>
      </c>
      <c r="L143">
        <f>VLOOKUP(Sheet1!B143,Sheet1!B143:I642,3,0)</f>
        <v>95</v>
      </c>
    </row>
    <row r="144" spans="5:12" x14ac:dyDescent="0.25">
      <c r="E144" t="str">
        <f>IF(Sheet1!D144&gt;120,"Long","Short")</f>
        <v>Short</v>
      </c>
      <c r="F144" t="str">
        <f>_xlfn.CONCAT(Sheet1!A144," -",Sheet1!B144)</f>
        <v>M1142 -Movie_142</v>
      </c>
      <c r="G144" t="str">
        <f>LEFT(Sheet1!F144,3)</f>
        <v>Ger</v>
      </c>
      <c r="H144" t="str">
        <f>RIGHT(Sheet1!G144,2)</f>
        <v>10</v>
      </c>
      <c r="I144">
        <f>LEN(Sheet1!B144)</f>
        <v>9</v>
      </c>
      <c r="J144" t="str">
        <f>TRIM(Sheet1!C144)</f>
        <v>Action</v>
      </c>
      <c r="K144" t="str">
        <f>VLOOKUP(Sheet1!A144,Sheet1!A144:I643,3,0)</f>
        <v>Action</v>
      </c>
      <c r="L144">
        <f>VLOOKUP(Sheet1!B144,Sheet1!B144:I643,3,0)</f>
        <v>98</v>
      </c>
    </row>
    <row r="145" spans="5:12" x14ac:dyDescent="0.25">
      <c r="E145" t="str">
        <f>IF(Sheet1!D145&gt;120,"Long","Short")</f>
        <v>Short</v>
      </c>
      <c r="F145" t="str">
        <f>_xlfn.CONCAT(Sheet1!A145," -",Sheet1!B145)</f>
        <v>M1143 -Movie_143</v>
      </c>
      <c r="G145" t="str">
        <f>LEFT(Sheet1!F145,3)</f>
        <v>Jap</v>
      </c>
      <c r="H145" t="str">
        <f>RIGHT(Sheet1!G145,2)</f>
        <v>81</v>
      </c>
      <c r="I145">
        <f>LEN(Sheet1!B145)</f>
        <v>9</v>
      </c>
      <c r="J145" t="str">
        <f>TRIM(Sheet1!C145)</f>
        <v>Action</v>
      </c>
      <c r="K145" t="str">
        <f>VLOOKUP(Sheet1!A145,Sheet1!A145:I644,3,0)</f>
        <v>Action</v>
      </c>
      <c r="L145">
        <f>VLOOKUP(Sheet1!B145,Sheet1!B145:I644,3,0)</f>
        <v>119</v>
      </c>
    </row>
    <row r="146" spans="5:12" x14ac:dyDescent="0.25">
      <c r="E146" t="str">
        <f>IF(Sheet1!D146&gt;120,"Long","Short")</f>
        <v>Long</v>
      </c>
      <c r="F146" t="str">
        <f>_xlfn.CONCAT(Sheet1!A146," -",Sheet1!B146)</f>
        <v>M1144 -Movie_144</v>
      </c>
      <c r="G146" t="str">
        <f>LEFT(Sheet1!F146,3)</f>
        <v>Spa</v>
      </c>
      <c r="H146" t="str">
        <f>RIGHT(Sheet1!G146,2)</f>
        <v>03</v>
      </c>
      <c r="I146">
        <f>LEN(Sheet1!B146)</f>
        <v>9</v>
      </c>
      <c r="J146" t="str">
        <f>TRIM(Sheet1!C146)</f>
        <v>Comedy</v>
      </c>
      <c r="K146" t="str">
        <f>VLOOKUP(Sheet1!A146,Sheet1!A146:I645,3,0)</f>
        <v>Comedy</v>
      </c>
      <c r="L146">
        <f>VLOOKUP(Sheet1!B146,Sheet1!B146:I645,3,0)</f>
        <v>158</v>
      </c>
    </row>
    <row r="147" spans="5:12" x14ac:dyDescent="0.25">
      <c r="E147" t="str">
        <f>IF(Sheet1!D147&gt;120,"Long","Short")</f>
        <v>Short</v>
      </c>
      <c r="F147" t="str">
        <f>_xlfn.CONCAT(Sheet1!A147," -",Sheet1!B147)</f>
        <v>M1145 -Movie_145</v>
      </c>
      <c r="G147" t="str">
        <f>LEFT(Sheet1!F147,3)</f>
        <v>Jap</v>
      </c>
      <c r="H147" t="str">
        <f>RIGHT(Sheet1!G147,2)</f>
        <v>01</v>
      </c>
      <c r="I147">
        <f>LEN(Sheet1!B147)</f>
        <v>9</v>
      </c>
      <c r="J147" t="str">
        <f>TRIM(Sheet1!C147)</f>
        <v>Horror</v>
      </c>
      <c r="K147" t="str">
        <f>VLOOKUP(Sheet1!A147,Sheet1!A147:I646,3,0)</f>
        <v>Horror</v>
      </c>
      <c r="L147">
        <f>VLOOKUP(Sheet1!B147,Sheet1!B147:I646,3,0)</f>
        <v>99</v>
      </c>
    </row>
    <row r="148" spans="5:12" x14ac:dyDescent="0.25">
      <c r="E148" t="str">
        <f>IF(Sheet1!D148&gt;120,"Long","Short")</f>
        <v>Short</v>
      </c>
      <c r="F148" t="str">
        <f>_xlfn.CONCAT(Sheet1!A148," -",Sheet1!B148)</f>
        <v>M1146 -Movie_146</v>
      </c>
      <c r="G148" t="str">
        <f>LEFT(Sheet1!F148,3)</f>
        <v>Ger</v>
      </c>
      <c r="H148" t="str">
        <f>RIGHT(Sheet1!G148,2)</f>
        <v>23</v>
      </c>
      <c r="I148">
        <f>LEN(Sheet1!B148)</f>
        <v>9</v>
      </c>
      <c r="J148" t="str">
        <f>TRIM(Sheet1!C148)</f>
        <v>Comedy</v>
      </c>
      <c r="K148" t="str">
        <f>VLOOKUP(Sheet1!A148,Sheet1!A148:I647,3,0)</f>
        <v>Comedy</v>
      </c>
      <c r="L148">
        <f>VLOOKUP(Sheet1!B148,Sheet1!B148:I647,3,0)</f>
        <v>114</v>
      </c>
    </row>
    <row r="149" spans="5:12" x14ac:dyDescent="0.25">
      <c r="E149" t="str">
        <f>IF(Sheet1!D149&gt;120,"Long","Short")</f>
        <v>Short</v>
      </c>
      <c r="F149" t="str">
        <f>_xlfn.CONCAT(Sheet1!A149," -",Sheet1!B149)</f>
        <v>M1147 -Movie_147</v>
      </c>
      <c r="G149" t="str">
        <f>LEFT(Sheet1!F149,3)</f>
        <v>Ger</v>
      </c>
      <c r="H149" t="str">
        <f>RIGHT(Sheet1!G149,2)</f>
        <v>87</v>
      </c>
      <c r="I149">
        <f>LEN(Sheet1!B149)</f>
        <v>9</v>
      </c>
      <c r="J149" t="str">
        <f>TRIM(Sheet1!C149)</f>
        <v>Horror</v>
      </c>
      <c r="K149" t="str">
        <f>VLOOKUP(Sheet1!A149,Sheet1!A149:I648,3,0)</f>
        <v>Horror</v>
      </c>
      <c r="L149">
        <f>VLOOKUP(Sheet1!B149,Sheet1!B149:I648,3,0)</f>
        <v>76</v>
      </c>
    </row>
    <row r="150" spans="5:12" x14ac:dyDescent="0.25">
      <c r="E150" t="str">
        <f>IF(Sheet1!D150&gt;120,"Long","Short")</f>
        <v>Long</v>
      </c>
      <c r="F150" t="str">
        <f>_xlfn.CONCAT(Sheet1!A150," -",Sheet1!B150)</f>
        <v>M1148 -Movie_148</v>
      </c>
      <c r="G150" t="str">
        <f>LEFT(Sheet1!F150,3)</f>
        <v>Hin</v>
      </c>
      <c r="H150" t="str">
        <f>RIGHT(Sheet1!G150,2)</f>
        <v>06</v>
      </c>
      <c r="I150">
        <f>LEN(Sheet1!B150)</f>
        <v>9</v>
      </c>
      <c r="J150" t="str">
        <f>TRIM(Sheet1!C150)</f>
        <v>Thriller</v>
      </c>
      <c r="K150" t="str">
        <f>VLOOKUP(Sheet1!A150,Sheet1!A150:I649,3,0)</f>
        <v>Thriller</v>
      </c>
      <c r="L150">
        <f>VLOOKUP(Sheet1!B150,Sheet1!B150:I649,3,0)</f>
        <v>166</v>
      </c>
    </row>
    <row r="151" spans="5:12" x14ac:dyDescent="0.25">
      <c r="E151" t="str">
        <f>IF(Sheet1!D151&gt;120,"Long","Short")</f>
        <v>Long</v>
      </c>
      <c r="F151" t="str">
        <f>_xlfn.CONCAT(Sheet1!A151," -",Sheet1!B151)</f>
        <v>M1149 -Movie_149</v>
      </c>
      <c r="G151" t="str">
        <f>LEFT(Sheet1!F151,3)</f>
        <v>Eng</v>
      </c>
      <c r="H151" t="str">
        <f>RIGHT(Sheet1!G151,2)</f>
        <v>17</v>
      </c>
      <c r="I151">
        <f>LEN(Sheet1!B151)</f>
        <v>9</v>
      </c>
      <c r="J151" t="str">
        <f>TRIM(Sheet1!C151)</f>
        <v>Sci-Fi</v>
      </c>
      <c r="K151" t="str">
        <f>VLOOKUP(Sheet1!A151,Sheet1!A151:I650,3,0)</f>
        <v>Sci-Fi</v>
      </c>
      <c r="L151">
        <f>VLOOKUP(Sheet1!B151,Sheet1!B151:I650,3,0)</f>
        <v>164</v>
      </c>
    </row>
    <row r="152" spans="5:12" x14ac:dyDescent="0.25">
      <c r="E152" t="str">
        <f>IF(Sheet1!D152&gt;120,"Long","Short")</f>
        <v>Long</v>
      </c>
      <c r="F152" t="str">
        <f>_xlfn.CONCAT(Sheet1!A152," -",Sheet1!B152)</f>
        <v>M1150 -Movie_150</v>
      </c>
      <c r="G152" t="str">
        <f>LEFT(Sheet1!F152,3)</f>
        <v>Eng</v>
      </c>
      <c r="H152" t="str">
        <f>RIGHT(Sheet1!G152,2)</f>
        <v>99</v>
      </c>
      <c r="I152">
        <f>LEN(Sheet1!B152)</f>
        <v>9</v>
      </c>
      <c r="J152" t="str">
        <f>TRIM(Sheet1!C152)</f>
        <v>Action</v>
      </c>
      <c r="K152" t="str">
        <f>VLOOKUP(Sheet1!A152,Sheet1!A152:I651,3,0)</f>
        <v>Action</v>
      </c>
      <c r="L152">
        <f>VLOOKUP(Sheet1!B152,Sheet1!B152:I651,3,0)</f>
        <v>144</v>
      </c>
    </row>
    <row r="153" spans="5:12" x14ac:dyDescent="0.25">
      <c r="E153" t="str">
        <f>IF(Sheet1!D153&gt;120,"Long","Short")</f>
        <v>Long</v>
      </c>
      <c r="F153" t="str">
        <f>_xlfn.CONCAT(Sheet1!A153," -",Sheet1!B153)</f>
        <v>M1151 -Movie_151</v>
      </c>
      <c r="G153" t="str">
        <f>LEFT(Sheet1!F153,3)</f>
        <v>Eng</v>
      </c>
      <c r="H153" t="str">
        <f>RIGHT(Sheet1!G153,2)</f>
        <v>24</v>
      </c>
      <c r="I153">
        <f>LEN(Sheet1!B153)</f>
        <v>9</v>
      </c>
      <c r="J153" t="str">
        <f>TRIM(Sheet1!C153)</f>
        <v>Thriller</v>
      </c>
      <c r="K153" t="str">
        <f>VLOOKUP(Sheet1!A153,Sheet1!A153:I652,3,0)</f>
        <v>Thriller</v>
      </c>
      <c r="L153">
        <f>VLOOKUP(Sheet1!B153,Sheet1!B153:I652,3,0)</f>
        <v>198</v>
      </c>
    </row>
    <row r="154" spans="5:12" x14ac:dyDescent="0.25">
      <c r="E154" t="str">
        <f>IF(Sheet1!D154&gt;120,"Long","Short")</f>
        <v>Long</v>
      </c>
      <c r="F154" t="str">
        <f>_xlfn.CONCAT(Sheet1!A154," -",Sheet1!B154)</f>
        <v>M1152 -Movie_152</v>
      </c>
      <c r="G154" t="str">
        <f>LEFT(Sheet1!F154,3)</f>
        <v>Fre</v>
      </c>
      <c r="H154" t="str">
        <f>RIGHT(Sheet1!G154,2)</f>
        <v>20</v>
      </c>
      <c r="I154">
        <f>LEN(Sheet1!B154)</f>
        <v>9</v>
      </c>
      <c r="J154" t="str">
        <f>TRIM(Sheet1!C154)</f>
        <v>Thriller</v>
      </c>
      <c r="K154" t="str">
        <f>VLOOKUP(Sheet1!A154,Sheet1!A154:I653,3,0)</f>
        <v>Thriller</v>
      </c>
      <c r="L154">
        <f>VLOOKUP(Sheet1!B154,Sheet1!B154:I653,3,0)</f>
        <v>179</v>
      </c>
    </row>
    <row r="155" spans="5:12" x14ac:dyDescent="0.25">
      <c r="E155" t="str">
        <f>IF(Sheet1!D155&gt;120,"Long","Short")</f>
        <v>Long</v>
      </c>
      <c r="F155" t="str">
        <f>_xlfn.CONCAT(Sheet1!A155," -",Sheet1!B155)</f>
        <v>M1153 -Movie_153</v>
      </c>
      <c r="G155" t="str">
        <f>LEFT(Sheet1!F155,3)</f>
        <v>Spa</v>
      </c>
      <c r="H155" t="str">
        <f>RIGHT(Sheet1!G155,2)</f>
        <v>81</v>
      </c>
      <c r="I155">
        <f>LEN(Sheet1!B155)</f>
        <v>9</v>
      </c>
      <c r="J155" t="str">
        <f>TRIM(Sheet1!C155)</f>
        <v>Sci-Fi</v>
      </c>
      <c r="K155" t="str">
        <f>VLOOKUP(Sheet1!A155,Sheet1!A155:I654,3,0)</f>
        <v>Sci-Fi</v>
      </c>
      <c r="L155">
        <f>VLOOKUP(Sheet1!B155,Sheet1!B155:I654,3,0)</f>
        <v>166</v>
      </c>
    </row>
    <row r="156" spans="5:12" x14ac:dyDescent="0.25">
      <c r="E156" t="str">
        <f>IF(Sheet1!D156&gt;120,"Long","Short")</f>
        <v>Short</v>
      </c>
      <c r="F156" t="str">
        <f>_xlfn.CONCAT(Sheet1!A156," -",Sheet1!B156)</f>
        <v>M1154 -Movie_154</v>
      </c>
      <c r="G156" t="str">
        <f>LEFT(Sheet1!F156,3)</f>
        <v>Spa</v>
      </c>
      <c r="H156" t="str">
        <f>RIGHT(Sheet1!G156,2)</f>
        <v>18</v>
      </c>
      <c r="I156">
        <f>LEN(Sheet1!B156)</f>
        <v>9</v>
      </c>
      <c r="J156" t="str">
        <f>TRIM(Sheet1!C156)</f>
        <v>Thriller</v>
      </c>
      <c r="K156" t="str">
        <f>VLOOKUP(Sheet1!A156,Sheet1!A156:I655,3,0)</f>
        <v>Thriller</v>
      </c>
      <c r="L156">
        <f>VLOOKUP(Sheet1!B156,Sheet1!B156:I655,3,0)</f>
        <v>75</v>
      </c>
    </row>
    <row r="157" spans="5:12" x14ac:dyDescent="0.25">
      <c r="E157" t="str">
        <f>IF(Sheet1!D157&gt;120,"Long","Short")</f>
        <v>Short</v>
      </c>
      <c r="F157" t="str">
        <f>_xlfn.CONCAT(Sheet1!A157," -",Sheet1!B157)</f>
        <v>M1155 -Movie_155</v>
      </c>
      <c r="G157" t="str">
        <f>LEFT(Sheet1!F157,3)</f>
        <v>Hin</v>
      </c>
      <c r="H157" t="str">
        <f>RIGHT(Sheet1!G157,2)</f>
        <v>10</v>
      </c>
      <c r="I157">
        <f>LEN(Sheet1!B157)</f>
        <v>9</v>
      </c>
      <c r="J157" t="str">
        <f>TRIM(Sheet1!C157)</f>
        <v>Sci-Fi</v>
      </c>
      <c r="K157" t="str">
        <f>VLOOKUP(Sheet1!A157,Sheet1!A157:I656,3,0)</f>
        <v>Sci-Fi</v>
      </c>
      <c r="L157">
        <f>VLOOKUP(Sheet1!B157,Sheet1!B157:I656,3,0)</f>
        <v>112</v>
      </c>
    </row>
    <row r="158" spans="5:12" x14ac:dyDescent="0.25">
      <c r="E158" t="str">
        <f>IF(Sheet1!D158&gt;120,"Long","Short")</f>
        <v>Long</v>
      </c>
      <c r="F158" t="str">
        <f>_xlfn.CONCAT(Sheet1!A158," -",Sheet1!B158)</f>
        <v>M1156 -Movie_156</v>
      </c>
      <c r="G158" t="str">
        <f>LEFT(Sheet1!F158,3)</f>
        <v>Jap</v>
      </c>
      <c r="H158" t="str">
        <f>RIGHT(Sheet1!G158,2)</f>
        <v>96</v>
      </c>
      <c r="I158">
        <f>LEN(Sheet1!B158)</f>
        <v>9</v>
      </c>
      <c r="J158" t="str">
        <f>TRIM(Sheet1!C158)</f>
        <v>Drama</v>
      </c>
      <c r="K158" t="str">
        <f>VLOOKUP(Sheet1!A158,Sheet1!A158:I657,3,0)</f>
        <v>Drama</v>
      </c>
      <c r="L158">
        <f>VLOOKUP(Sheet1!B158,Sheet1!B158:I657,3,0)</f>
        <v>167</v>
      </c>
    </row>
    <row r="159" spans="5:12" x14ac:dyDescent="0.25">
      <c r="E159" t="str">
        <f>IF(Sheet1!D159&gt;120,"Long","Short")</f>
        <v>Long</v>
      </c>
      <c r="F159" t="str">
        <f>_xlfn.CONCAT(Sheet1!A159," -",Sheet1!B159)</f>
        <v>M1157 -Movie_157</v>
      </c>
      <c r="G159" t="str">
        <f>LEFT(Sheet1!F159,3)</f>
        <v>Hin</v>
      </c>
      <c r="H159" t="str">
        <f>RIGHT(Sheet1!G159,2)</f>
        <v>21</v>
      </c>
      <c r="I159">
        <f>LEN(Sheet1!B159)</f>
        <v>9</v>
      </c>
      <c r="J159" t="str">
        <f>TRIM(Sheet1!C159)</f>
        <v>Sci-Fi</v>
      </c>
      <c r="K159" t="str">
        <f>VLOOKUP(Sheet1!A159,Sheet1!A159:I658,3,0)</f>
        <v>Sci-Fi</v>
      </c>
      <c r="L159">
        <f>VLOOKUP(Sheet1!B159,Sheet1!B159:I658,3,0)</f>
        <v>159</v>
      </c>
    </row>
    <row r="160" spans="5:12" x14ac:dyDescent="0.25">
      <c r="E160" t="str">
        <f>IF(Sheet1!D160&gt;120,"Long","Short")</f>
        <v>Short</v>
      </c>
      <c r="F160" t="str">
        <f>_xlfn.CONCAT(Sheet1!A160," -",Sheet1!B160)</f>
        <v>M1158 -Movie_158</v>
      </c>
      <c r="G160" t="str">
        <f>LEFT(Sheet1!F160,3)</f>
        <v>Hin</v>
      </c>
      <c r="H160" t="str">
        <f>RIGHT(Sheet1!G160,2)</f>
        <v>17</v>
      </c>
      <c r="I160">
        <f>LEN(Sheet1!B160)</f>
        <v>9</v>
      </c>
      <c r="J160" t="str">
        <f>TRIM(Sheet1!C160)</f>
        <v>Action</v>
      </c>
      <c r="K160" t="str">
        <f>VLOOKUP(Sheet1!A160,Sheet1!A160:I659,3,0)</f>
        <v>Action</v>
      </c>
      <c r="L160">
        <f>VLOOKUP(Sheet1!B160,Sheet1!B160:I659,3,0)</f>
        <v>65</v>
      </c>
    </row>
    <row r="161" spans="5:12" x14ac:dyDescent="0.25">
      <c r="E161" t="str">
        <f>IF(Sheet1!D161&gt;120,"Long","Short")</f>
        <v>Long</v>
      </c>
      <c r="F161" t="str">
        <f>_xlfn.CONCAT(Sheet1!A161," -",Sheet1!B161)</f>
        <v>M1159 -Movie_159</v>
      </c>
      <c r="G161" t="str">
        <f>LEFT(Sheet1!F161,3)</f>
        <v>Ger</v>
      </c>
      <c r="H161" t="str">
        <f>RIGHT(Sheet1!G161,2)</f>
        <v>16</v>
      </c>
      <c r="I161">
        <f>LEN(Sheet1!B161)</f>
        <v>9</v>
      </c>
      <c r="J161" t="str">
        <f>TRIM(Sheet1!C161)</f>
        <v>Horror</v>
      </c>
      <c r="K161" t="str">
        <f>VLOOKUP(Sheet1!A161,Sheet1!A161:I660,3,0)</f>
        <v>Horror</v>
      </c>
      <c r="L161">
        <f>VLOOKUP(Sheet1!B161,Sheet1!B161:I660,3,0)</f>
        <v>157</v>
      </c>
    </row>
    <row r="162" spans="5:12" x14ac:dyDescent="0.25">
      <c r="E162" t="str">
        <f>IF(Sheet1!D162&gt;120,"Long","Short")</f>
        <v>Long</v>
      </c>
      <c r="F162" t="str">
        <f>_xlfn.CONCAT(Sheet1!A162," -",Sheet1!B162)</f>
        <v>M1160 -Movie_160</v>
      </c>
      <c r="G162" t="str">
        <f>LEFT(Sheet1!F162,3)</f>
        <v>Eng</v>
      </c>
      <c r="H162" t="str">
        <f>RIGHT(Sheet1!G162,2)</f>
        <v>94</v>
      </c>
      <c r="I162">
        <f>LEN(Sheet1!B162)</f>
        <v>9</v>
      </c>
      <c r="J162" t="str">
        <f>TRIM(Sheet1!C162)</f>
        <v>Horror</v>
      </c>
      <c r="K162" t="str">
        <f>VLOOKUP(Sheet1!A162,Sheet1!A162:I661,3,0)</f>
        <v>Horror</v>
      </c>
      <c r="L162">
        <f>VLOOKUP(Sheet1!B162,Sheet1!B162:I661,3,0)</f>
        <v>182</v>
      </c>
    </row>
    <row r="163" spans="5:12" x14ac:dyDescent="0.25">
      <c r="E163" t="str">
        <f>IF(Sheet1!D163&gt;120,"Long","Short")</f>
        <v>Short</v>
      </c>
      <c r="F163" t="str">
        <f>_xlfn.CONCAT(Sheet1!A163," -",Sheet1!B163)</f>
        <v>M1161 -Movie_161</v>
      </c>
      <c r="G163" t="str">
        <f>LEFT(Sheet1!F163,3)</f>
        <v>Fre</v>
      </c>
      <c r="H163" t="str">
        <f>RIGHT(Sheet1!G163,2)</f>
        <v>83</v>
      </c>
      <c r="I163">
        <f>LEN(Sheet1!B163)</f>
        <v>9</v>
      </c>
      <c r="J163" t="str">
        <f>TRIM(Sheet1!C163)</f>
        <v>Action</v>
      </c>
      <c r="K163" t="str">
        <f>VLOOKUP(Sheet1!A163,Sheet1!A163:I662,3,0)</f>
        <v>Action</v>
      </c>
      <c r="L163">
        <f>VLOOKUP(Sheet1!B163,Sheet1!B163:I662,3,0)</f>
        <v>61</v>
      </c>
    </row>
    <row r="164" spans="5:12" x14ac:dyDescent="0.25">
      <c r="E164" t="str">
        <f>IF(Sheet1!D164&gt;120,"Long","Short")</f>
        <v>Long</v>
      </c>
      <c r="F164" t="str">
        <f>_xlfn.CONCAT(Sheet1!A164," -",Sheet1!B164)</f>
        <v>M1162 -Movie_162</v>
      </c>
      <c r="G164" t="str">
        <f>LEFT(Sheet1!F164,3)</f>
        <v>Spa</v>
      </c>
      <c r="H164" t="str">
        <f>RIGHT(Sheet1!G164,2)</f>
        <v>17</v>
      </c>
      <c r="I164">
        <f>LEN(Sheet1!B164)</f>
        <v>9</v>
      </c>
      <c r="J164" t="str">
        <f>TRIM(Sheet1!C164)</f>
        <v>Horror</v>
      </c>
      <c r="K164" t="str">
        <f>VLOOKUP(Sheet1!A164,Sheet1!A164:I663,3,0)</f>
        <v>Horror</v>
      </c>
      <c r="L164">
        <f>VLOOKUP(Sheet1!B164,Sheet1!B164:I663,3,0)</f>
        <v>150</v>
      </c>
    </row>
    <row r="165" spans="5:12" x14ac:dyDescent="0.25">
      <c r="E165" t="str">
        <f>IF(Sheet1!D165&gt;120,"Long","Short")</f>
        <v>Long</v>
      </c>
      <c r="F165" t="str">
        <f>_xlfn.CONCAT(Sheet1!A165," -",Sheet1!B165)</f>
        <v>M1163 -Movie_163</v>
      </c>
      <c r="G165" t="str">
        <f>LEFT(Sheet1!F165,3)</f>
        <v>Fre</v>
      </c>
      <c r="H165" t="str">
        <f>RIGHT(Sheet1!G165,2)</f>
        <v>10</v>
      </c>
      <c r="I165">
        <f>LEN(Sheet1!B165)</f>
        <v>9</v>
      </c>
      <c r="J165" t="str">
        <f>TRIM(Sheet1!C165)</f>
        <v>Sci-Fi</v>
      </c>
      <c r="K165" t="str">
        <f>VLOOKUP(Sheet1!A165,Sheet1!A165:I664,3,0)</f>
        <v>Sci-Fi</v>
      </c>
      <c r="L165">
        <f>VLOOKUP(Sheet1!B165,Sheet1!B165:I664,3,0)</f>
        <v>136</v>
      </c>
    </row>
    <row r="166" spans="5:12" x14ac:dyDescent="0.25">
      <c r="E166" t="str">
        <f>IF(Sheet1!D166&gt;120,"Long","Short")</f>
        <v>Long</v>
      </c>
      <c r="F166" t="str">
        <f>_xlfn.CONCAT(Sheet1!A166," -",Sheet1!B166)</f>
        <v>M1164 -Movie_164</v>
      </c>
      <c r="G166" t="str">
        <f>LEFT(Sheet1!F166,3)</f>
        <v>Eng</v>
      </c>
      <c r="H166" t="str">
        <f>RIGHT(Sheet1!G166,2)</f>
        <v>90</v>
      </c>
      <c r="I166">
        <f>LEN(Sheet1!B166)</f>
        <v>9</v>
      </c>
      <c r="J166" t="str">
        <f>TRIM(Sheet1!C166)</f>
        <v>Drama</v>
      </c>
      <c r="K166" t="str">
        <f>VLOOKUP(Sheet1!A166,Sheet1!A166:I665,3,0)</f>
        <v>Drama</v>
      </c>
      <c r="L166">
        <f>VLOOKUP(Sheet1!B166,Sheet1!B166:I665,3,0)</f>
        <v>159</v>
      </c>
    </row>
    <row r="167" spans="5:12" x14ac:dyDescent="0.25">
      <c r="E167" t="str">
        <f>IF(Sheet1!D167&gt;120,"Long","Short")</f>
        <v>Long</v>
      </c>
      <c r="F167" t="str">
        <f>_xlfn.CONCAT(Sheet1!A167," -",Sheet1!B167)</f>
        <v>M1165 -Movie_165</v>
      </c>
      <c r="G167" t="str">
        <f>LEFT(Sheet1!F167,3)</f>
        <v>Eng</v>
      </c>
      <c r="H167" t="str">
        <f>RIGHT(Sheet1!G167,2)</f>
        <v>13</v>
      </c>
      <c r="I167">
        <f>LEN(Sheet1!B167)</f>
        <v>9</v>
      </c>
      <c r="J167" t="str">
        <f>TRIM(Sheet1!C167)</f>
        <v>Horror</v>
      </c>
      <c r="K167" t="str">
        <f>VLOOKUP(Sheet1!A167,Sheet1!A167:I666,3,0)</f>
        <v>Horror</v>
      </c>
      <c r="L167">
        <f>VLOOKUP(Sheet1!B167,Sheet1!B167:I666,3,0)</f>
        <v>167</v>
      </c>
    </row>
    <row r="168" spans="5:12" x14ac:dyDescent="0.25">
      <c r="E168" t="str">
        <f>IF(Sheet1!D168&gt;120,"Long","Short")</f>
        <v>Long</v>
      </c>
      <c r="F168" t="str">
        <f>_xlfn.CONCAT(Sheet1!A168," -",Sheet1!B168)</f>
        <v>M1166 -Movie_166</v>
      </c>
      <c r="G168" t="str">
        <f>LEFT(Sheet1!F168,3)</f>
        <v>Spa</v>
      </c>
      <c r="H168" t="str">
        <f>RIGHT(Sheet1!G168,2)</f>
        <v>20</v>
      </c>
      <c r="I168">
        <f>LEN(Sheet1!B168)</f>
        <v>9</v>
      </c>
      <c r="J168" t="str">
        <f>TRIM(Sheet1!C168)</f>
        <v>Drama</v>
      </c>
      <c r="K168" t="str">
        <f>VLOOKUP(Sheet1!A168,Sheet1!A168:I667,3,0)</f>
        <v>Drama</v>
      </c>
      <c r="L168">
        <f>VLOOKUP(Sheet1!B168,Sheet1!B168:I667,3,0)</f>
        <v>197</v>
      </c>
    </row>
    <row r="169" spans="5:12" x14ac:dyDescent="0.25">
      <c r="E169" t="str">
        <f>IF(Sheet1!D169&gt;120,"Long","Short")</f>
        <v>Long</v>
      </c>
      <c r="F169" t="str">
        <f>_xlfn.CONCAT(Sheet1!A169," -",Sheet1!B169)</f>
        <v>M1167 -Movie_167</v>
      </c>
      <c r="G169" t="str">
        <f>LEFT(Sheet1!F169,3)</f>
        <v>Ger</v>
      </c>
      <c r="H169" t="str">
        <f>RIGHT(Sheet1!G169,2)</f>
        <v>19</v>
      </c>
      <c r="I169">
        <f>LEN(Sheet1!B169)</f>
        <v>9</v>
      </c>
      <c r="J169" t="str">
        <f>TRIM(Sheet1!C169)</f>
        <v>Action</v>
      </c>
      <c r="K169" t="str">
        <f>VLOOKUP(Sheet1!A169,Sheet1!A169:I668,3,0)</f>
        <v>Action</v>
      </c>
      <c r="L169">
        <f>VLOOKUP(Sheet1!B169,Sheet1!B169:I668,3,0)</f>
        <v>199</v>
      </c>
    </row>
    <row r="170" spans="5:12" x14ac:dyDescent="0.25">
      <c r="E170" t="str">
        <f>IF(Sheet1!D170&gt;120,"Long","Short")</f>
        <v>Short</v>
      </c>
      <c r="F170" t="str">
        <f>_xlfn.CONCAT(Sheet1!A170," -",Sheet1!B170)</f>
        <v>M1168 -Movie_168</v>
      </c>
      <c r="G170" t="str">
        <f>LEFT(Sheet1!F170,3)</f>
        <v>Jap</v>
      </c>
      <c r="H170" t="str">
        <f>RIGHT(Sheet1!G170,2)</f>
        <v>04</v>
      </c>
      <c r="I170">
        <f>LEN(Sheet1!B170)</f>
        <v>9</v>
      </c>
      <c r="J170" t="str">
        <f>TRIM(Sheet1!C170)</f>
        <v>Drama</v>
      </c>
      <c r="K170" t="str">
        <f>VLOOKUP(Sheet1!A170,Sheet1!A170:I669,3,0)</f>
        <v>Drama</v>
      </c>
      <c r="L170">
        <f>VLOOKUP(Sheet1!B170,Sheet1!B170:I669,3,0)</f>
        <v>116</v>
      </c>
    </row>
    <row r="171" spans="5:12" x14ac:dyDescent="0.25">
      <c r="E171" t="str">
        <f>IF(Sheet1!D171&gt;120,"Long","Short")</f>
        <v>Long</v>
      </c>
      <c r="F171" t="str">
        <f>_xlfn.CONCAT(Sheet1!A171," -",Sheet1!B171)</f>
        <v>M1169 -Movie_169</v>
      </c>
      <c r="G171" t="str">
        <f>LEFT(Sheet1!F171,3)</f>
        <v>Hin</v>
      </c>
      <c r="H171" t="str">
        <f>RIGHT(Sheet1!G171,2)</f>
        <v>89</v>
      </c>
      <c r="I171">
        <f>LEN(Sheet1!B171)</f>
        <v>9</v>
      </c>
      <c r="J171" t="str">
        <f>TRIM(Sheet1!C171)</f>
        <v>Thriller</v>
      </c>
      <c r="K171" t="str">
        <f>VLOOKUP(Sheet1!A171,Sheet1!A171:I670,3,0)</f>
        <v>Thriller</v>
      </c>
      <c r="L171">
        <f>VLOOKUP(Sheet1!B171,Sheet1!B171:I670,3,0)</f>
        <v>184</v>
      </c>
    </row>
    <row r="172" spans="5:12" x14ac:dyDescent="0.25">
      <c r="E172" t="str">
        <f>IF(Sheet1!D172&gt;120,"Long","Short")</f>
        <v>Short</v>
      </c>
      <c r="F172" t="str">
        <f>_xlfn.CONCAT(Sheet1!A172," -",Sheet1!B172)</f>
        <v>M1170 -Movie_170</v>
      </c>
      <c r="G172" t="str">
        <f>LEFT(Sheet1!F172,3)</f>
        <v>Ger</v>
      </c>
      <c r="H172" t="str">
        <f>RIGHT(Sheet1!G172,2)</f>
        <v>23</v>
      </c>
      <c r="I172">
        <f>LEN(Sheet1!B172)</f>
        <v>9</v>
      </c>
      <c r="J172" t="str">
        <f>TRIM(Sheet1!C172)</f>
        <v>Comedy</v>
      </c>
      <c r="K172" t="str">
        <f>VLOOKUP(Sheet1!A172,Sheet1!A172:I671,3,0)</f>
        <v>Comedy</v>
      </c>
      <c r="L172">
        <f>VLOOKUP(Sheet1!B172,Sheet1!B172:I671,3,0)</f>
        <v>116</v>
      </c>
    </row>
    <row r="173" spans="5:12" x14ac:dyDescent="0.25">
      <c r="E173" t="str">
        <f>IF(Sheet1!D173&gt;120,"Long","Short")</f>
        <v>Long</v>
      </c>
      <c r="F173" t="str">
        <f>_xlfn.CONCAT(Sheet1!A173," -",Sheet1!B173)</f>
        <v>M1171 -Movie_171</v>
      </c>
      <c r="G173" t="str">
        <f>LEFT(Sheet1!F173,3)</f>
        <v>Eng</v>
      </c>
      <c r="H173" t="str">
        <f>RIGHT(Sheet1!G173,2)</f>
        <v>95</v>
      </c>
      <c r="I173">
        <f>LEN(Sheet1!B173)</f>
        <v>9</v>
      </c>
      <c r="J173" t="str">
        <f>TRIM(Sheet1!C173)</f>
        <v>Thriller</v>
      </c>
      <c r="K173" t="str">
        <f>VLOOKUP(Sheet1!A173,Sheet1!A173:I672,3,0)</f>
        <v>Thriller</v>
      </c>
      <c r="L173">
        <f>VLOOKUP(Sheet1!B173,Sheet1!B173:I672,3,0)</f>
        <v>129</v>
      </c>
    </row>
    <row r="174" spans="5:12" x14ac:dyDescent="0.25">
      <c r="E174" t="str">
        <f>IF(Sheet1!D174&gt;120,"Long","Short")</f>
        <v>Long</v>
      </c>
      <c r="F174" t="str">
        <f>_xlfn.CONCAT(Sheet1!A174," -",Sheet1!B174)</f>
        <v>M1172 -Movie_172</v>
      </c>
      <c r="G174" t="str">
        <f>LEFT(Sheet1!F174,3)</f>
        <v>Eng</v>
      </c>
      <c r="H174" t="str">
        <f>RIGHT(Sheet1!G174,2)</f>
        <v>82</v>
      </c>
      <c r="I174">
        <f>LEN(Sheet1!B174)</f>
        <v>9</v>
      </c>
      <c r="J174" t="str">
        <f>TRIM(Sheet1!C174)</f>
        <v>Action</v>
      </c>
      <c r="K174" t="str">
        <f>VLOOKUP(Sheet1!A174,Sheet1!A174:I673,3,0)</f>
        <v>Action</v>
      </c>
      <c r="L174">
        <f>VLOOKUP(Sheet1!B174,Sheet1!B174:I673,3,0)</f>
        <v>171</v>
      </c>
    </row>
    <row r="175" spans="5:12" x14ac:dyDescent="0.25">
      <c r="E175" t="str">
        <f>IF(Sheet1!D175&gt;120,"Long","Short")</f>
        <v>Long</v>
      </c>
      <c r="F175" t="str">
        <f>_xlfn.CONCAT(Sheet1!A175," -",Sheet1!B175)</f>
        <v>M1173 -Movie_173</v>
      </c>
      <c r="G175" t="str">
        <f>LEFT(Sheet1!F175,3)</f>
        <v>Ger</v>
      </c>
      <c r="H175" t="str">
        <f>RIGHT(Sheet1!G175,2)</f>
        <v>16</v>
      </c>
      <c r="I175">
        <f>LEN(Sheet1!B175)</f>
        <v>9</v>
      </c>
      <c r="J175" t="str">
        <f>TRIM(Sheet1!C175)</f>
        <v>Horror</v>
      </c>
      <c r="K175" t="str">
        <f>VLOOKUP(Sheet1!A175,Sheet1!A175:I674,3,0)</f>
        <v>Horror</v>
      </c>
      <c r="L175">
        <f>VLOOKUP(Sheet1!B175,Sheet1!B175:I674,3,0)</f>
        <v>184</v>
      </c>
    </row>
    <row r="176" spans="5:12" x14ac:dyDescent="0.25">
      <c r="E176" t="str">
        <f>IF(Sheet1!D176&gt;120,"Long","Short")</f>
        <v>Short</v>
      </c>
      <c r="F176" t="str">
        <f>_xlfn.CONCAT(Sheet1!A176," -",Sheet1!B176)</f>
        <v>M1174 -Movie_174</v>
      </c>
      <c r="G176" t="str">
        <f>LEFT(Sheet1!F176,3)</f>
        <v>Hin</v>
      </c>
      <c r="H176" t="str">
        <f>RIGHT(Sheet1!G176,2)</f>
        <v>24</v>
      </c>
      <c r="I176">
        <f>LEN(Sheet1!B176)</f>
        <v>9</v>
      </c>
      <c r="J176" t="str">
        <f>TRIM(Sheet1!C176)</f>
        <v>Horror</v>
      </c>
      <c r="K176" t="str">
        <f>VLOOKUP(Sheet1!A176,Sheet1!A176:I675,3,0)</f>
        <v>Horror</v>
      </c>
      <c r="L176">
        <f>VLOOKUP(Sheet1!B176,Sheet1!B176:I675,3,0)</f>
        <v>67</v>
      </c>
    </row>
    <row r="177" spans="5:12" x14ac:dyDescent="0.25">
      <c r="E177" t="str">
        <f>IF(Sheet1!D177&gt;120,"Long","Short")</f>
        <v>Long</v>
      </c>
      <c r="F177" t="str">
        <f>_xlfn.CONCAT(Sheet1!A177," -",Sheet1!B177)</f>
        <v>M1175 -Movie_175</v>
      </c>
      <c r="G177" t="str">
        <f>LEFT(Sheet1!F177,3)</f>
        <v>Hin</v>
      </c>
      <c r="H177" t="str">
        <f>RIGHT(Sheet1!G177,2)</f>
        <v>87</v>
      </c>
      <c r="I177">
        <f>LEN(Sheet1!B177)</f>
        <v>9</v>
      </c>
      <c r="J177" t="str">
        <f>TRIM(Sheet1!C177)</f>
        <v>Drama</v>
      </c>
      <c r="K177" t="str">
        <f>VLOOKUP(Sheet1!A177,Sheet1!A177:I676,3,0)</f>
        <v>Drama</v>
      </c>
      <c r="L177">
        <f>VLOOKUP(Sheet1!B177,Sheet1!B177:I676,3,0)</f>
        <v>159</v>
      </c>
    </row>
    <row r="178" spans="5:12" x14ac:dyDescent="0.25">
      <c r="E178" t="str">
        <f>IF(Sheet1!D178&gt;120,"Long","Short")</f>
        <v>Long</v>
      </c>
      <c r="F178" t="str">
        <f>_xlfn.CONCAT(Sheet1!A178," -",Sheet1!B178)</f>
        <v>M1176 -Movie_176</v>
      </c>
      <c r="G178" t="str">
        <f>LEFT(Sheet1!F178,3)</f>
        <v>Eng</v>
      </c>
      <c r="H178" t="str">
        <f>RIGHT(Sheet1!G178,2)</f>
        <v>92</v>
      </c>
      <c r="I178">
        <f>LEN(Sheet1!B178)</f>
        <v>9</v>
      </c>
      <c r="J178" t="str">
        <f>TRIM(Sheet1!C178)</f>
        <v>Sci-Fi</v>
      </c>
      <c r="K178" t="str">
        <f>VLOOKUP(Sheet1!A178,Sheet1!A178:I677,3,0)</f>
        <v>Sci-Fi</v>
      </c>
      <c r="L178">
        <f>VLOOKUP(Sheet1!B178,Sheet1!B178:I677,3,0)</f>
        <v>146</v>
      </c>
    </row>
    <row r="179" spans="5:12" x14ac:dyDescent="0.25">
      <c r="E179" t="str">
        <f>IF(Sheet1!D179&gt;120,"Long","Short")</f>
        <v>Long</v>
      </c>
      <c r="F179" t="str">
        <f>_xlfn.CONCAT(Sheet1!A179," -",Sheet1!B179)</f>
        <v>M1177 -Movie_177</v>
      </c>
      <c r="G179" t="str">
        <f>LEFT(Sheet1!F179,3)</f>
        <v>Jap</v>
      </c>
      <c r="H179" t="str">
        <f>RIGHT(Sheet1!G179,2)</f>
        <v>81</v>
      </c>
      <c r="I179">
        <f>LEN(Sheet1!B179)</f>
        <v>9</v>
      </c>
      <c r="J179" t="str">
        <f>TRIM(Sheet1!C179)</f>
        <v>Comedy</v>
      </c>
      <c r="K179" t="str">
        <f>VLOOKUP(Sheet1!A179,Sheet1!A179:I678,3,0)</f>
        <v>Comedy</v>
      </c>
      <c r="L179">
        <f>VLOOKUP(Sheet1!B179,Sheet1!B179:I678,3,0)</f>
        <v>163</v>
      </c>
    </row>
    <row r="180" spans="5:12" x14ac:dyDescent="0.25">
      <c r="E180" t="str">
        <f>IF(Sheet1!D180&gt;120,"Long","Short")</f>
        <v>Short</v>
      </c>
      <c r="F180" t="str">
        <f>_xlfn.CONCAT(Sheet1!A180," -",Sheet1!B180)</f>
        <v>M1178 -Movie_178</v>
      </c>
      <c r="G180" t="str">
        <f>LEFT(Sheet1!F180,3)</f>
        <v>Hin</v>
      </c>
      <c r="H180" t="str">
        <f>RIGHT(Sheet1!G180,2)</f>
        <v>08</v>
      </c>
      <c r="I180">
        <f>LEN(Sheet1!B180)</f>
        <v>9</v>
      </c>
      <c r="J180" t="str">
        <f>TRIM(Sheet1!C180)</f>
        <v>Sci-Fi</v>
      </c>
      <c r="K180" t="str">
        <f>VLOOKUP(Sheet1!A180,Sheet1!A180:I679,3,0)</f>
        <v>Sci-Fi</v>
      </c>
      <c r="L180">
        <f>VLOOKUP(Sheet1!B180,Sheet1!B180:I679,3,0)</f>
        <v>102</v>
      </c>
    </row>
    <row r="181" spans="5:12" x14ac:dyDescent="0.25">
      <c r="E181" t="str">
        <f>IF(Sheet1!D181&gt;120,"Long","Short")</f>
        <v>Long</v>
      </c>
      <c r="F181" t="str">
        <f>_xlfn.CONCAT(Sheet1!A181," -",Sheet1!B181)</f>
        <v>M1179 -Movie_179</v>
      </c>
      <c r="G181" t="str">
        <f>LEFT(Sheet1!F181,3)</f>
        <v>Hin</v>
      </c>
      <c r="H181" t="str">
        <f>RIGHT(Sheet1!G181,2)</f>
        <v>00</v>
      </c>
      <c r="I181">
        <f>LEN(Sheet1!B181)</f>
        <v>9</v>
      </c>
      <c r="J181" t="str">
        <f>TRIM(Sheet1!C181)</f>
        <v>Action</v>
      </c>
      <c r="K181" t="str">
        <f>VLOOKUP(Sheet1!A181,Sheet1!A181:I680,3,0)</f>
        <v>Action</v>
      </c>
      <c r="L181">
        <f>VLOOKUP(Sheet1!B181,Sheet1!B181:I680,3,0)</f>
        <v>179</v>
      </c>
    </row>
    <row r="182" spans="5:12" x14ac:dyDescent="0.25">
      <c r="E182" t="str">
        <f>IF(Sheet1!D182&gt;120,"Long","Short")</f>
        <v>Short</v>
      </c>
      <c r="F182" t="str">
        <f>_xlfn.CONCAT(Sheet1!A182," -",Sheet1!B182)</f>
        <v>M1180 -Movie_180</v>
      </c>
      <c r="G182" t="str">
        <f>LEFT(Sheet1!F182,3)</f>
        <v>Spa</v>
      </c>
      <c r="H182" t="str">
        <f>RIGHT(Sheet1!G182,2)</f>
        <v>06</v>
      </c>
      <c r="I182">
        <f>LEN(Sheet1!B182)</f>
        <v>9</v>
      </c>
      <c r="J182" t="str">
        <f>TRIM(Sheet1!C182)</f>
        <v>Horror</v>
      </c>
      <c r="K182" t="str">
        <f>VLOOKUP(Sheet1!A182,Sheet1!A182:I681,3,0)</f>
        <v>Horror</v>
      </c>
      <c r="L182">
        <f>VLOOKUP(Sheet1!B182,Sheet1!B182:I681,3,0)</f>
        <v>92</v>
      </c>
    </row>
    <row r="183" spans="5:12" x14ac:dyDescent="0.25">
      <c r="E183" t="str">
        <f>IF(Sheet1!D183&gt;120,"Long","Short")</f>
        <v>Long</v>
      </c>
      <c r="F183" t="str">
        <f>_xlfn.CONCAT(Sheet1!A183," -",Sheet1!B183)</f>
        <v>M1181 -Movie_181</v>
      </c>
      <c r="G183" t="str">
        <f>LEFT(Sheet1!F183,3)</f>
        <v>Jap</v>
      </c>
      <c r="H183" t="str">
        <f>RIGHT(Sheet1!G183,2)</f>
        <v>89</v>
      </c>
      <c r="I183">
        <f>LEN(Sheet1!B183)</f>
        <v>9</v>
      </c>
      <c r="J183" t="str">
        <f>TRIM(Sheet1!C183)</f>
        <v>Drama</v>
      </c>
      <c r="K183" t="str">
        <f>VLOOKUP(Sheet1!A183,Sheet1!A183:I682,3,0)</f>
        <v>Drama</v>
      </c>
      <c r="L183">
        <f>VLOOKUP(Sheet1!B183,Sheet1!B183:I682,3,0)</f>
        <v>196</v>
      </c>
    </row>
    <row r="184" spans="5:12" x14ac:dyDescent="0.25">
      <c r="E184" t="str">
        <f>IF(Sheet1!D184&gt;120,"Long","Short")</f>
        <v>Short</v>
      </c>
      <c r="F184" t="str">
        <f>_xlfn.CONCAT(Sheet1!A184," -",Sheet1!B184)</f>
        <v>M1182 -Movie_182</v>
      </c>
      <c r="G184" t="str">
        <f>LEFT(Sheet1!F184,3)</f>
        <v>Spa</v>
      </c>
      <c r="H184" t="str">
        <f>RIGHT(Sheet1!G184,2)</f>
        <v>06</v>
      </c>
      <c r="I184">
        <f>LEN(Sheet1!B184)</f>
        <v>9</v>
      </c>
      <c r="J184" t="str">
        <f>TRIM(Sheet1!C184)</f>
        <v>Horror</v>
      </c>
      <c r="K184" t="str">
        <f>VLOOKUP(Sheet1!A184,Sheet1!A184:I683,3,0)</f>
        <v>Horror</v>
      </c>
      <c r="L184">
        <f>VLOOKUP(Sheet1!B184,Sheet1!B184:I683,3,0)</f>
        <v>66</v>
      </c>
    </row>
    <row r="185" spans="5:12" x14ac:dyDescent="0.25">
      <c r="E185" t="str">
        <f>IF(Sheet1!D185&gt;120,"Long","Short")</f>
        <v>Long</v>
      </c>
      <c r="F185" t="str">
        <f>_xlfn.CONCAT(Sheet1!A185," -",Sheet1!B185)</f>
        <v>M1183 -Movie_183</v>
      </c>
      <c r="G185" t="str">
        <f>LEFT(Sheet1!F185,3)</f>
        <v>Fre</v>
      </c>
      <c r="H185" t="str">
        <f>RIGHT(Sheet1!G185,2)</f>
        <v>24</v>
      </c>
      <c r="I185">
        <f>LEN(Sheet1!B185)</f>
        <v>9</v>
      </c>
      <c r="J185" t="str">
        <f>TRIM(Sheet1!C185)</f>
        <v>Sci-Fi</v>
      </c>
      <c r="K185" t="str">
        <f>VLOOKUP(Sheet1!A185,Sheet1!A185:I684,3,0)</f>
        <v>Sci-Fi</v>
      </c>
      <c r="L185">
        <f>VLOOKUP(Sheet1!B185,Sheet1!B185:I684,3,0)</f>
        <v>160</v>
      </c>
    </row>
    <row r="186" spans="5:12" x14ac:dyDescent="0.25">
      <c r="E186" t="str">
        <f>IF(Sheet1!D186&gt;120,"Long","Short")</f>
        <v>Short</v>
      </c>
      <c r="F186" t="str">
        <f>_xlfn.CONCAT(Sheet1!A186," -",Sheet1!B186)</f>
        <v>M1184 -Movie_184</v>
      </c>
      <c r="G186" t="str">
        <f>LEFT(Sheet1!F186,3)</f>
        <v>Ger</v>
      </c>
      <c r="H186" t="str">
        <f>RIGHT(Sheet1!G186,2)</f>
        <v>93</v>
      </c>
      <c r="I186">
        <f>LEN(Sheet1!B186)</f>
        <v>9</v>
      </c>
      <c r="J186" t="str">
        <f>TRIM(Sheet1!C186)</f>
        <v>Sci-Fi</v>
      </c>
      <c r="K186" t="str">
        <f>VLOOKUP(Sheet1!A186,Sheet1!A186:I685,3,0)</f>
        <v>Sci-Fi</v>
      </c>
      <c r="L186">
        <f>VLOOKUP(Sheet1!B186,Sheet1!B186:I685,3,0)</f>
        <v>66</v>
      </c>
    </row>
    <row r="187" spans="5:12" x14ac:dyDescent="0.25">
      <c r="E187" t="str">
        <f>IF(Sheet1!D187&gt;120,"Long","Short")</f>
        <v>Short</v>
      </c>
      <c r="F187" t="str">
        <f>_xlfn.CONCAT(Sheet1!A187," -",Sheet1!B187)</f>
        <v>M1185 -Movie_185</v>
      </c>
      <c r="G187" t="str">
        <f>LEFT(Sheet1!F187,3)</f>
        <v>Eng</v>
      </c>
      <c r="H187" t="str">
        <f>RIGHT(Sheet1!G187,2)</f>
        <v>06</v>
      </c>
      <c r="I187">
        <f>LEN(Sheet1!B187)</f>
        <v>9</v>
      </c>
      <c r="J187" t="str">
        <f>TRIM(Sheet1!C187)</f>
        <v>Comedy</v>
      </c>
      <c r="K187" t="str">
        <f>VLOOKUP(Sheet1!A187,Sheet1!A187:I686,3,0)</f>
        <v>Comedy</v>
      </c>
      <c r="L187">
        <f>VLOOKUP(Sheet1!B187,Sheet1!B187:I686,3,0)</f>
        <v>81</v>
      </c>
    </row>
    <row r="188" spans="5:12" x14ac:dyDescent="0.25">
      <c r="E188" t="str">
        <f>IF(Sheet1!D188&gt;120,"Long","Short")</f>
        <v>Long</v>
      </c>
      <c r="F188" t="str">
        <f>_xlfn.CONCAT(Sheet1!A188," -",Sheet1!B188)</f>
        <v>M1186 -Movie_186</v>
      </c>
      <c r="G188" t="str">
        <f>LEFT(Sheet1!F188,3)</f>
        <v>Hin</v>
      </c>
      <c r="H188" t="str">
        <f>RIGHT(Sheet1!G188,2)</f>
        <v>12</v>
      </c>
      <c r="I188">
        <f>LEN(Sheet1!B188)</f>
        <v>9</v>
      </c>
      <c r="J188" t="str">
        <f>TRIM(Sheet1!C188)</f>
        <v>Comedy</v>
      </c>
      <c r="K188" t="str">
        <f>VLOOKUP(Sheet1!A188,Sheet1!A188:I687,3,0)</f>
        <v>Comedy</v>
      </c>
      <c r="L188">
        <f>VLOOKUP(Sheet1!B188,Sheet1!B188:I687,3,0)</f>
        <v>169</v>
      </c>
    </row>
    <row r="189" spans="5:12" x14ac:dyDescent="0.25">
      <c r="E189" t="str">
        <f>IF(Sheet1!D189&gt;120,"Long","Short")</f>
        <v>Short</v>
      </c>
      <c r="F189" t="str">
        <f>_xlfn.CONCAT(Sheet1!A189," -",Sheet1!B189)</f>
        <v>M1187 -Movie_187</v>
      </c>
      <c r="G189" t="str">
        <f>LEFT(Sheet1!F189,3)</f>
        <v>Fre</v>
      </c>
      <c r="H189" t="str">
        <f>RIGHT(Sheet1!G189,2)</f>
        <v>19</v>
      </c>
      <c r="I189">
        <f>LEN(Sheet1!B189)</f>
        <v>9</v>
      </c>
      <c r="J189" t="str">
        <f>TRIM(Sheet1!C189)</f>
        <v>Drama</v>
      </c>
      <c r="K189" t="str">
        <f>VLOOKUP(Sheet1!A189,Sheet1!A189:I688,3,0)</f>
        <v>Drama</v>
      </c>
      <c r="L189">
        <f>VLOOKUP(Sheet1!B189,Sheet1!B189:I688,3,0)</f>
        <v>94</v>
      </c>
    </row>
    <row r="190" spans="5:12" x14ac:dyDescent="0.25">
      <c r="E190" t="str">
        <f>IF(Sheet1!D190&gt;120,"Long","Short")</f>
        <v>Long</v>
      </c>
      <c r="F190" t="str">
        <f>_xlfn.CONCAT(Sheet1!A190," -",Sheet1!B190)</f>
        <v>M1188 -Movie_188</v>
      </c>
      <c r="G190" t="str">
        <f>LEFT(Sheet1!F190,3)</f>
        <v>Spa</v>
      </c>
      <c r="H190" t="str">
        <f>RIGHT(Sheet1!G190,2)</f>
        <v>10</v>
      </c>
      <c r="I190">
        <f>LEN(Sheet1!B190)</f>
        <v>9</v>
      </c>
      <c r="J190" t="str">
        <f>TRIM(Sheet1!C190)</f>
        <v>Comedy</v>
      </c>
      <c r="K190" t="str">
        <f>VLOOKUP(Sheet1!A190,Sheet1!A190:I689,3,0)</f>
        <v>Comedy</v>
      </c>
      <c r="L190">
        <f>VLOOKUP(Sheet1!B190,Sheet1!B190:I689,3,0)</f>
        <v>178</v>
      </c>
    </row>
    <row r="191" spans="5:12" x14ac:dyDescent="0.25">
      <c r="E191" t="str">
        <f>IF(Sheet1!D191&gt;120,"Long","Short")</f>
        <v>Short</v>
      </c>
      <c r="F191" t="str">
        <f>_xlfn.CONCAT(Sheet1!A191," -",Sheet1!B191)</f>
        <v>M1189 -Movie_189</v>
      </c>
      <c r="G191" t="str">
        <f>LEFT(Sheet1!F191,3)</f>
        <v>Hin</v>
      </c>
      <c r="H191" t="str">
        <f>RIGHT(Sheet1!G191,2)</f>
        <v>83</v>
      </c>
      <c r="I191">
        <f>LEN(Sheet1!B191)</f>
        <v>9</v>
      </c>
      <c r="J191" t="str">
        <f>TRIM(Sheet1!C191)</f>
        <v>Sci-Fi</v>
      </c>
      <c r="K191" t="str">
        <f>VLOOKUP(Sheet1!A191,Sheet1!A191:I690,3,0)</f>
        <v>Sci-Fi</v>
      </c>
      <c r="L191">
        <f>VLOOKUP(Sheet1!B191,Sheet1!B191:I690,3,0)</f>
        <v>106</v>
      </c>
    </row>
    <row r="192" spans="5:12" x14ac:dyDescent="0.25">
      <c r="E192" t="str">
        <f>IF(Sheet1!D192&gt;120,"Long","Short")</f>
        <v>Short</v>
      </c>
      <c r="F192" t="str">
        <f>_xlfn.CONCAT(Sheet1!A192," -",Sheet1!B192)</f>
        <v>M1190 -Movie_190</v>
      </c>
      <c r="G192" t="str">
        <f>LEFT(Sheet1!F192,3)</f>
        <v>Ger</v>
      </c>
      <c r="H192" t="str">
        <f>RIGHT(Sheet1!G192,2)</f>
        <v>25</v>
      </c>
      <c r="I192">
        <f>LEN(Sheet1!B192)</f>
        <v>9</v>
      </c>
      <c r="J192" t="str">
        <f>TRIM(Sheet1!C192)</f>
        <v>Sci-Fi</v>
      </c>
      <c r="K192" t="str">
        <f>VLOOKUP(Sheet1!A192,Sheet1!A192:I691,3,0)</f>
        <v>Sci-Fi</v>
      </c>
      <c r="L192">
        <f>VLOOKUP(Sheet1!B192,Sheet1!B192:I691,3,0)</f>
        <v>72</v>
      </c>
    </row>
    <row r="193" spans="5:12" x14ac:dyDescent="0.25">
      <c r="E193" t="str">
        <f>IF(Sheet1!D193&gt;120,"Long","Short")</f>
        <v>Long</v>
      </c>
      <c r="F193" t="str">
        <f>_xlfn.CONCAT(Sheet1!A193," -",Sheet1!B193)</f>
        <v>M1191 -Movie_191</v>
      </c>
      <c r="G193" t="str">
        <f>LEFT(Sheet1!F193,3)</f>
        <v>Spa</v>
      </c>
      <c r="H193" t="str">
        <f>RIGHT(Sheet1!G193,2)</f>
        <v>88</v>
      </c>
      <c r="I193">
        <f>LEN(Sheet1!B193)</f>
        <v>9</v>
      </c>
      <c r="J193" t="str">
        <f>TRIM(Sheet1!C193)</f>
        <v>Action</v>
      </c>
      <c r="K193" t="str">
        <f>VLOOKUP(Sheet1!A193,Sheet1!A193:I692,3,0)</f>
        <v>Action</v>
      </c>
      <c r="L193">
        <f>VLOOKUP(Sheet1!B193,Sheet1!B193:I692,3,0)</f>
        <v>126</v>
      </c>
    </row>
    <row r="194" spans="5:12" x14ac:dyDescent="0.25">
      <c r="E194" t="str">
        <f>IF(Sheet1!D194&gt;120,"Long","Short")</f>
        <v>Long</v>
      </c>
      <c r="F194" t="str">
        <f>_xlfn.CONCAT(Sheet1!A194," -",Sheet1!B194)</f>
        <v>M1192 -Movie_192</v>
      </c>
      <c r="G194" t="str">
        <f>LEFT(Sheet1!F194,3)</f>
        <v>Jap</v>
      </c>
      <c r="H194" t="str">
        <f>RIGHT(Sheet1!G194,2)</f>
        <v>13</v>
      </c>
      <c r="I194">
        <f>LEN(Sheet1!B194)</f>
        <v>9</v>
      </c>
      <c r="J194" t="str">
        <f>TRIM(Sheet1!C194)</f>
        <v>Sci-Fi</v>
      </c>
      <c r="K194" t="str">
        <f>VLOOKUP(Sheet1!A194,Sheet1!A194:I693,3,0)</f>
        <v>Sci-Fi</v>
      </c>
      <c r="L194">
        <f>VLOOKUP(Sheet1!B194,Sheet1!B194:I693,3,0)</f>
        <v>157</v>
      </c>
    </row>
    <row r="195" spans="5:12" x14ac:dyDescent="0.25">
      <c r="E195" t="str">
        <f>IF(Sheet1!D195&gt;120,"Long","Short")</f>
        <v>Long</v>
      </c>
      <c r="F195" t="str">
        <f>_xlfn.CONCAT(Sheet1!A195," -",Sheet1!B195)</f>
        <v>M1193 -Movie_193</v>
      </c>
      <c r="G195" t="str">
        <f>LEFT(Sheet1!F195,3)</f>
        <v>Jap</v>
      </c>
      <c r="H195" t="str">
        <f>RIGHT(Sheet1!G195,2)</f>
        <v>93</v>
      </c>
      <c r="I195">
        <f>LEN(Sheet1!B195)</f>
        <v>9</v>
      </c>
      <c r="J195" t="str">
        <f>TRIM(Sheet1!C195)</f>
        <v>Drama</v>
      </c>
      <c r="K195" t="str">
        <f>VLOOKUP(Sheet1!A195,Sheet1!A195:I694,3,0)</f>
        <v>Drama</v>
      </c>
      <c r="L195">
        <f>VLOOKUP(Sheet1!B195,Sheet1!B195:I694,3,0)</f>
        <v>143</v>
      </c>
    </row>
    <row r="196" spans="5:12" x14ac:dyDescent="0.25">
      <c r="E196" t="str">
        <f>IF(Sheet1!D196&gt;120,"Long","Short")</f>
        <v>Short</v>
      </c>
      <c r="F196" t="str">
        <f>_xlfn.CONCAT(Sheet1!A196," -",Sheet1!B196)</f>
        <v>M1194 -Movie_194</v>
      </c>
      <c r="G196" t="str">
        <f>LEFT(Sheet1!F196,3)</f>
        <v>Eng</v>
      </c>
      <c r="H196" t="str">
        <f>RIGHT(Sheet1!G196,2)</f>
        <v>15</v>
      </c>
      <c r="I196">
        <f>LEN(Sheet1!B196)</f>
        <v>9</v>
      </c>
      <c r="J196" t="str">
        <f>TRIM(Sheet1!C196)</f>
        <v>Thriller</v>
      </c>
      <c r="K196" t="str">
        <f>VLOOKUP(Sheet1!A196,Sheet1!A196:I695,3,0)</f>
        <v>Thriller</v>
      </c>
      <c r="L196">
        <f>VLOOKUP(Sheet1!B196,Sheet1!B196:I695,3,0)</f>
        <v>114</v>
      </c>
    </row>
    <row r="197" spans="5:12" x14ac:dyDescent="0.25">
      <c r="E197" t="str">
        <f>IF(Sheet1!D197&gt;120,"Long","Short")</f>
        <v>Long</v>
      </c>
      <c r="F197" t="str">
        <f>_xlfn.CONCAT(Sheet1!A197," -",Sheet1!B197)</f>
        <v>M1195 -Movie_195</v>
      </c>
      <c r="G197" t="str">
        <f>LEFT(Sheet1!F197,3)</f>
        <v>Hin</v>
      </c>
      <c r="H197" t="str">
        <f>RIGHT(Sheet1!G197,2)</f>
        <v>00</v>
      </c>
      <c r="I197">
        <f>LEN(Sheet1!B197)</f>
        <v>9</v>
      </c>
      <c r="J197" t="str">
        <f>TRIM(Sheet1!C197)</f>
        <v>Action</v>
      </c>
      <c r="K197" t="str">
        <f>VLOOKUP(Sheet1!A197,Sheet1!A197:I696,3,0)</f>
        <v>Action</v>
      </c>
      <c r="L197">
        <f>VLOOKUP(Sheet1!B197,Sheet1!B197:I696,3,0)</f>
        <v>176</v>
      </c>
    </row>
    <row r="198" spans="5:12" x14ac:dyDescent="0.25">
      <c r="E198" t="str">
        <f>IF(Sheet1!D198&gt;120,"Long","Short")</f>
        <v>Long</v>
      </c>
      <c r="F198" t="str">
        <f>_xlfn.CONCAT(Sheet1!A198," -",Sheet1!B198)</f>
        <v>M1196 -Movie_196</v>
      </c>
      <c r="G198" t="str">
        <f>LEFT(Sheet1!F198,3)</f>
        <v>Fre</v>
      </c>
      <c r="H198" t="str">
        <f>RIGHT(Sheet1!G198,2)</f>
        <v>22</v>
      </c>
      <c r="I198">
        <f>LEN(Sheet1!B198)</f>
        <v>9</v>
      </c>
      <c r="J198" t="str">
        <f>TRIM(Sheet1!C198)</f>
        <v>Action</v>
      </c>
      <c r="K198" t="str">
        <f>VLOOKUP(Sheet1!A198,Sheet1!A198:I697,3,0)</f>
        <v>Action</v>
      </c>
      <c r="L198">
        <f>VLOOKUP(Sheet1!B198,Sheet1!B198:I697,3,0)</f>
        <v>143</v>
      </c>
    </row>
    <row r="199" spans="5:12" x14ac:dyDescent="0.25">
      <c r="E199" t="str">
        <f>IF(Sheet1!D199&gt;120,"Long","Short")</f>
        <v>Long</v>
      </c>
      <c r="F199" t="str">
        <f>_xlfn.CONCAT(Sheet1!A199," -",Sheet1!B199)</f>
        <v>M1197 -Movie_197</v>
      </c>
      <c r="G199" t="str">
        <f>LEFT(Sheet1!F199,3)</f>
        <v>Eng</v>
      </c>
      <c r="H199" t="str">
        <f>RIGHT(Sheet1!G199,2)</f>
        <v>10</v>
      </c>
      <c r="I199">
        <f>LEN(Sheet1!B199)</f>
        <v>9</v>
      </c>
      <c r="J199" t="str">
        <f>TRIM(Sheet1!C199)</f>
        <v>Drama</v>
      </c>
      <c r="K199" t="str">
        <f>VLOOKUP(Sheet1!A199,Sheet1!A199:I698,3,0)</f>
        <v>Drama</v>
      </c>
      <c r="L199">
        <f>VLOOKUP(Sheet1!B199,Sheet1!B199:I698,3,0)</f>
        <v>146</v>
      </c>
    </row>
    <row r="200" spans="5:12" x14ac:dyDescent="0.25">
      <c r="E200" t="str">
        <f>IF(Sheet1!D200&gt;120,"Long","Short")</f>
        <v>Long</v>
      </c>
      <c r="F200" t="str">
        <f>_xlfn.CONCAT(Sheet1!A200," -",Sheet1!B200)</f>
        <v>M1198 -Movie_198</v>
      </c>
      <c r="G200" t="str">
        <f>LEFT(Sheet1!F200,3)</f>
        <v>Hin</v>
      </c>
      <c r="H200" t="str">
        <f>RIGHT(Sheet1!G200,2)</f>
        <v>13</v>
      </c>
      <c r="I200">
        <f>LEN(Sheet1!B200)</f>
        <v>9</v>
      </c>
      <c r="J200" t="str">
        <f>TRIM(Sheet1!C200)</f>
        <v>Drama</v>
      </c>
      <c r="K200" t="str">
        <f>VLOOKUP(Sheet1!A200,Sheet1!A200:I699,3,0)</f>
        <v>Drama</v>
      </c>
      <c r="L200">
        <f>VLOOKUP(Sheet1!B200,Sheet1!B200:I699,3,0)</f>
        <v>157</v>
      </c>
    </row>
    <row r="201" spans="5:12" x14ac:dyDescent="0.25">
      <c r="E201" t="str">
        <f>IF(Sheet1!D201&gt;120,"Long","Short")</f>
        <v>Long</v>
      </c>
      <c r="F201" t="str">
        <f>_xlfn.CONCAT(Sheet1!A201," -",Sheet1!B201)</f>
        <v>M1199 -Movie_199</v>
      </c>
      <c r="G201" t="str">
        <f>LEFT(Sheet1!F201,3)</f>
        <v>Hin</v>
      </c>
      <c r="H201" t="str">
        <f>RIGHT(Sheet1!G201,2)</f>
        <v>04</v>
      </c>
      <c r="I201">
        <f>LEN(Sheet1!B201)</f>
        <v>9</v>
      </c>
      <c r="J201" t="str">
        <f>TRIM(Sheet1!C201)</f>
        <v>Comedy</v>
      </c>
      <c r="K201" t="str">
        <f>VLOOKUP(Sheet1!A201,Sheet1!A201:I700,3,0)</f>
        <v>Comedy</v>
      </c>
      <c r="L201">
        <f>VLOOKUP(Sheet1!B201,Sheet1!B201:I700,3,0)</f>
        <v>131</v>
      </c>
    </row>
    <row r="202" spans="5:12" x14ac:dyDescent="0.25">
      <c r="E202" t="str">
        <f>IF(Sheet1!D202&gt;120,"Long","Short")</f>
        <v>Long</v>
      </c>
      <c r="F202" t="str">
        <f>_xlfn.CONCAT(Sheet1!A202," -",Sheet1!B202)</f>
        <v>M1200 -Movie_200</v>
      </c>
      <c r="G202" t="str">
        <f>LEFT(Sheet1!F202,3)</f>
        <v>Hin</v>
      </c>
      <c r="H202" t="str">
        <f>RIGHT(Sheet1!G202,2)</f>
        <v>00</v>
      </c>
      <c r="I202">
        <f>LEN(Sheet1!B202)</f>
        <v>9</v>
      </c>
      <c r="J202" t="str">
        <f>TRIM(Sheet1!C202)</f>
        <v>Action</v>
      </c>
      <c r="K202" t="str">
        <f>VLOOKUP(Sheet1!A202,Sheet1!A202:I701,3,0)</f>
        <v>Action</v>
      </c>
      <c r="L202">
        <f>VLOOKUP(Sheet1!B202,Sheet1!B202:I701,3,0)</f>
        <v>167</v>
      </c>
    </row>
    <row r="203" spans="5:12" x14ac:dyDescent="0.25">
      <c r="E203" t="str">
        <f>IF(Sheet1!D203&gt;120,"Long","Short")</f>
        <v>Long</v>
      </c>
      <c r="F203" t="str">
        <f>_xlfn.CONCAT(Sheet1!A203," -",Sheet1!B203)</f>
        <v>M1201 -Movie_201</v>
      </c>
      <c r="G203" t="str">
        <f>LEFT(Sheet1!F203,3)</f>
        <v>Hin</v>
      </c>
      <c r="H203" t="str">
        <f>RIGHT(Sheet1!G203,2)</f>
        <v>91</v>
      </c>
      <c r="I203">
        <f>LEN(Sheet1!B203)</f>
        <v>9</v>
      </c>
      <c r="J203" t="str">
        <f>TRIM(Sheet1!C203)</f>
        <v>Comedy</v>
      </c>
      <c r="K203" t="str">
        <f>VLOOKUP(Sheet1!A203,Sheet1!A203:I702,3,0)</f>
        <v>Comedy</v>
      </c>
      <c r="L203">
        <f>VLOOKUP(Sheet1!B203,Sheet1!B203:I702,3,0)</f>
        <v>124</v>
      </c>
    </row>
    <row r="204" spans="5:12" x14ac:dyDescent="0.25">
      <c r="E204" t="str">
        <f>IF(Sheet1!D204&gt;120,"Long","Short")</f>
        <v>Short</v>
      </c>
      <c r="F204" t="str">
        <f>_xlfn.CONCAT(Sheet1!A204," -",Sheet1!B204)</f>
        <v>M1202 -Movie_202</v>
      </c>
      <c r="G204" t="str">
        <f>LEFT(Sheet1!F204,3)</f>
        <v>Hin</v>
      </c>
      <c r="H204" t="str">
        <f>RIGHT(Sheet1!G204,2)</f>
        <v>09</v>
      </c>
      <c r="I204">
        <f>LEN(Sheet1!B204)</f>
        <v>9</v>
      </c>
      <c r="J204" t="str">
        <f>TRIM(Sheet1!C204)</f>
        <v>Sci-Fi</v>
      </c>
      <c r="K204" t="str">
        <f>VLOOKUP(Sheet1!A204,Sheet1!A204:I703,3,0)</f>
        <v>Sci-Fi</v>
      </c>
      <c r="L204">
        <f>VLOOKUP(Sheet1!B204,Sheet1!B204:I703,3,0)</f>
        <v>80</v>
      </c>
    </row>
    <row r="205" spans="5:12" x14ac:dyDescent="0.25">
      <c r="E205" t="str">
        <f>IF(Sheet1!D205&gt;120,"Long","Short")</f>
        <v>Long</v>
      </c>
      <c r="F205" t="str">
        <f>_xlfn.CONCAT(Sheet1!A205," -",Sheet1!B205)</f>
        <v>M1203 -Movie_203</v>
      </c>
      <c r="G205" t="str">
        <f>LEFT(Sheet1!F205,3)</f>
        <v>Eng</v>
      </c>
      <c r="H205" t="str">
        <f>RIGHT(Sheet1!G205,2)</f>
        <v>14</v>
      </c>
      <c r="I205">
        <f>LEN(Sheet1!B205)</f>
        <v>9</v>
      </c>
      <c r="J205" t="str">
        <f>TRIM(Sheet1!C205)</f>
        <v>Action</v>
      </c>
      <c r="K205" t="str">
        <f>VLOOKUP(Sheet1!A205,Sheet1!A205:I704,3,0)</f>
        <v>Action</v>
      </c>
      <c r="L205">
        <f>VLOOKUP(Sheet1!B205,Sheet1!B205:I704,3,0)</f>
        <v>180</v>
      </c>
    </row>
    <row r="206" spans="5:12" x14ac:dyDescent="0.25">
      <c r="E206" t="str">
        <f>IF(Sheet1!D206&gt;120,"Long","Short")</f>
        <v>Short</v>
      </c>
      <c r="F206" t="str">
        <f>_xlfn.CONCAT(Sheet1!A206," -",Sheet1!B206)</f>
        <v>M1204 -Movie_204</v>
      </c>
      <c r="G206" t="str">
        <f>LEFT(Sheet1!F206,3)</f>
        <v>Ger</v>
      </c>
      <c r="H206" t="str">
        <f>RIGHT(Sheet1!G206,2)</f>
        <v>01</v>
      </c>
      <c r="I206">
        <f>LEN(Sheet1!B206)</f>
        <v>9</v>
      </c>
      <c r="J206" t="str">
        <f>TRIM(Sheet1!C206)</f>
        <v>Action</v>
      </c>
      <c r="K206" t="str">
        <f>VLOOKUP(Sheet1!A206,Sheet1!A206:I705,3,0)</f>
        <v>Action</v>
      </c>
      <c r="L206">
        <f>VLOOKUP(Sheet1!B206,Sheet1!B206:I705,3,0)</f>
        <v>64</v>
      </c>
    </row>
    <row r="207" spans="5:12" x14ac:dyDescent="0.25">
      <c r="E207" t="str">
        <f>IF(Sheet1!D207&gt;120,"Long","Short")</f>
        <v>Long</v>
      </c>
      <c r="F207" t="str">
        <f>_xlfn.CONCAT(Sheet1!A207," -",Sheet1!B207)</f>
        <v>M1205 -Movie_205</v>
      </c>
      <c r="G207" t="str">
        <f>LEFT(Sheet1!F207,3)</f>
        <v>Ger</v>
      </c>
      <c r="H207" t="str">
        <f>RIGHT(Sheet1!G207,2)</f>
        <v>14</v>
      </c>
      <c r="I207">
        <f>LEN(Sheet1!B207)</f>
        <v>9</v>
      </c>
      <c r="J207" t="str">
        <f>TRIM(Sheet1!C207)</f>
        <v>Horror</v>
      </c>
      <c r="K207" t="str">
        <f>VLOOKUP(Sheet1!A207,Sheet1!A207:I706,3,0)</f>
        <v>Horror</v>
      </c>
      <c r="L207">
        <f>VLOOKUP(Sheet1!B207,Sheet1!B207:I706,3,0)</f>
        <v>198</v>
      </c>
    </row>
    <row r="208" spans="5:12" x14ac:dyDescent="0.25">
      <c r="E208" t="str">
        <f>IF(Sheet1!D208&gt;120,"Long","Short")</f>
        <v>Short</v>
      </c>
      <c r="F208" t="str">
        <f>_xlfn.CONCAT(Sheet1!A208," -",Sheet1!B208)</f>
        <v>M1206 -Movie_206</v>
      </c>
      <c r="G208" t="str">
        <f>LEFT(Sheet1!F208,3)</f>
        <v>Eng</v>
      </c>
      <c r="H208" t="str">
        <f>RIGHT(Sheet1!G208,2)</f>
        <v>02</v>
      </c>
      <c r="I208">
        <f>LEN(Sheet1!B208)</f>
        <v>9</v>
      </c>
      <c r="J208" t="str">
        <f>TRIM(Sheet1!C208)</f>
        <v>Thriller</v>
      </c>
      <c r="K208" t="str">
        <f>VLOOKUP(Sheet1!A208,Sheet1!A208:I707,3,0)</f>
        <v>Thriller</v>
      </c>
      <c r="L208">
        <f>VLOOKUP(Sheet1!B208,Sheet1!B208:I707,3,0)</f>
        <v>73</v>
      </c>
    </row>
    <row r="209" spans="5:12" x14ac:dyDescent="0.25">
      <c r="E209" t="str">
        <f>IF(Sheet1!D209&gt;120,"Long","Short")</f>
        <v>Long</v>
      </c>
      <c r="F209" t="str">
        <f>_xlfn.CONCAT(Sheet1!A209," -",Sheet1!B209)</f>
        <v>M1207 -Movie_207</v>
      </c>
      <c r="G209" t="str">
        <f>LEFT(Sheet1!F209,3)</f>
        <v>Jap</v>
      </c>
      <c r="H209" t="str">
        <f>RIGHT(Sheet1!G209,2)</f>
        <v>23</v>
      </c>
      <c r="I209">
        <f>LEN(Sheet1!B209)</f>
        <v>9</v>
      </c>
      <c r="J209" t="str">
        <f>TRIM(Sheet1!C209)</f>
        <v>Action</v>
      </c>
      <c r="K209" t="str">
        <f>VLOOKUP(Sheet1!A209,Sheet1!A209:I708,3,0)</f>
        <v>Action</v>
      </c>
      <c r="L209">
        <f>VLOOKUP(Sheet1!B209,Sheet1!B209:I708,3,0)</f>
        <v>149</v>
      </c>
    </row>
    <row r="210" spans="5:12" x14ac:dyDescent="0.25">
      <c r="E210" t="str">
        <f>IF(Sheet1!D210&gt;120,"Long","Short")</f>
        <v>Short</v>
      </c>
      <c r="F210" t="str">
        <f>_xlfn.CONCAT(Sheet1!A210," -",Sheet1!B210)</f>
        <v>M1208 -Movie_208</v>
      </c>
      <c r="G210" t="str">
        <f>LEFT(Sheet1!F210,3)</f>
        <v>Ger</v>
      </c>
      <c r="H210" t="str">
        <f>RIGHT(Sheet1!G210,2)</f>
        <v>23</v>
      </c>
      <c r="I210">
        <f>LEN(Sheet1!B210)</f>
        <v>9</v>
      </c>
      <c r="J210" t="str">
        <f>TRIM(Sheet1!C210)</f>
        <v>Sci-Fi</v>
      </c>
      <c r="K210" t="str">
        <f>VLOOKUP(Sheet1!A210,Sheet1!A210:I709,3,0)</f>
        <v>Sci-Fi</v>
      </c>
      <c r="L210">
        <f>VLOOKUP(Sheet1!B210,Sheet1!B210:I709,3,0)</f>
        <v>117</v>
      </c>
    </row>
    <row r="211" spans="5:12" x14ac:dyDescent="0.25">
      <c r="E211" t="str">
        <f>IF(Sheet1!D211&gt;120,"Long","Short")</f>
        <v>Short</v>
      </c>
      <c r="F211" t="str">
        <f>_xlfn.CONCAT(Sheet1!A211," -",Sheet1!B211)</f>
        <v>M1209 -Movie_209</v>
      </c>
      <c r="G211" t="str">
        <f>LEFT(Sheet1!F211,3)</f>
        <v>Fre</v>
      </c>
      <c r="H211" t="str">
        <f>RIGHT(Sheet1!G211,2)</f>
        <v>21</v>
      </c>
      <c r="I211">
        <f>LEN(Sheet1!B211)</f>
        <v>9</v>
      </c>
      <c r="J211" t="str">
        <f>TRIM(Sheet1!C211)</f>
        <v>Comedy</v>
      </c>
      <c r="K211" t="str">
        <f>VLOOKUP(Sheet1!A211,Sheet1!A211:I710,3,0)</f>
        <v>Comedy</v>
      </c>
      <c r="L211">
        <f>VLOOKUP(Sheet1!B211,Sheet1!B211:I710,3,0)</f>
        <v>77</v>
      </c>
    </row>
    <row r="212" spans="5:12" x14ac:dyDescent="0.25">
      <c r="E212" t="str">
        <f>IF(Sheet1!D212&gt;120,"Long","Short")</f>
        <v>Short</v>
      </c>
      <c r="F212" t="str">
        <f>_xlfn.CONCAT(Sheet1!A212," -",Sheet1!B212)</f>
        <v>M1210 -Movie_210</v>
      </c>
      <c r="G212" t="str">
        <f>LEFT(Sheet1!F212,3)</f>
        <v>Fre</v>
      </c>
      <c r="H212" t="str">
        <f>RIGHT(Sheet1!G212,2)</f>
        <v>24</v>
      </c>
      <c r="I212">
        <f>LEN(Sheet1!B212)</f>
        <v>9</v>
      </c>
      <c r="J212" t="str">
        <f>TRIM(Sheet1!C212)</f>
        <v>Comedy</v>
      </c>
      <c r="K212" t="str">
        <f>VLOOKUP(Sheet1!A212,Sheet1!A212:I711,3,0)</f>
        <v>Comedy</v>
      </c>
      <c r="L212">
        <f>VLOOKUP(Sheet1!B212,Sheet1!B212:I711,3,0)</f>
        <v>70</v>
      </c>
    </row>
    <row r="213" spans="5:12" x14ac:dyDescent="0.25">
      <c r="E213" t="str">
        <f>IF(Sheet1!D213&gt;120,"Long","Short")</f>
        <v>Short</v>
      </c>
      <c r="F213" t="str">
        <f>_xlfn.CONCAT(Sheet1!A213," -",Sheet1!B213)</f>
        <v>M1211 -Movie_211</v>
      </c>
      <c r="G213" t="str">
        <f>LEFT(Sheet1!F213,3)</f>
        <v>Jap</v>
      </c>
      <c r="H213" t="str">
        <f>RIGHT(Sheet1!G213,2)</f>
        <v>96</v>
      </c>
      <c r="I213">
        <f>LEN(Sheet1!B213)</f>
        <v>9</v>
      </c>
      <c r="J213" t="str">
        <f>TRIM(Sheet1!C213)</f>
        <v>Horror</v>
      </c>
      <c r="K213" t="str">
        <f>VLOOKUP(Sheet1!A213,Sheet1!A213:I712,3,0)</f>
        <v>Horror</v>
      </c>
      <c r="L213">
        <f>VLOOKUP(Sheet1!B213,Sheet1!B213:I712,3,0)</f>
        <v>67</v>
      </c>
    </row>
    <row r="214" spans="5:12" x14ac:dyDescent="0.25">
      <c r="E214" t="str">
        <f>IF(Sheet1!D214&gt;120,"Long","Short")</f>
        <v>Long</v>
      </c>
      <c r="F214" t="str">
        <f>_xlfn.CONCAT(Sheet1!A214," -",Sheet1!B214)</f>
        <v>M1212 -Movie_212</v>
      </c>
      <c r="G214" t="str">
        <f>LEFT(Sheet1!F214,3)</f>
        <v>Eng</v>
      </c>
      <c r="H214" t="str">
        <f>RIGHT(Sheet1!G214,2)</f>
        <v>19</v>
      </c>
      <c r="I214">
        <f>LEN(Sheet1!B214)</f>
        <v>9</v>
      </c>
      <c r="J214" t="str">
        <f>TRIM(Sheet1!C214)</f>
        <v>Thriller</v>
      </c>
      <c r="K214" t="str">
        <f>VLOOKUP(Sheet1!A214,Sheet1!A214:I713,3,0)</f>
        <v>Thriller</v>
      </c>
      <c r="L214">
        <f>VLOOKUP(Sheet1!B214,Sheet1!B214:I713,3,0)</f>
        <v>123</v>
      </c>
    </row>
    <row r="215" spans="5:12" x14ac:dyDescent="0.25">
      <c r="E215" t="str">
        <f>IF(Sheet1!D215&gt;120,"Long","Short")</f>
        <v>Short</v>
      </c>
      <c r="F215" t="str">
        <f>_xlfn.CONCAT(Sheet1!A215," -",Sheet1!B215)</f>
        <v>M1213 -Movie_213</v>
      </c>
      <c r="G215" t="str">
        <f>LEFT(Sheet1!F215,3)</f>
        <v>Fre</v>
      </c>
      <c r="H215" t="str">
        <f>RIGHT(Sheet1!G215,2)</f>
        <v>10</v>
      </c>
      <c r="I215">
        <f>LEN(Sheet1!B215)</f>
        <v>9</v>
      </c>
      <c r="J215" t="str">
        <f>TRIM(Sheet1!C215)</f>
        <v>Sci-Fi</v>
      </c>
      <c r="K215" t="str">
        <f>VLOOKUP(Sheet1!A215,Sheet1!A215:I714,3,0)</f>
        <v>Sci-Fi</v>
      </c>
      <c r="L215">
        <f>VLOOKUP(Sheet1!B215,Sheet1!B215:I714,3,0)</f>
        <v>111</v>
      </c>
    </row>
    <row r="216" spans="5:12" x14ac:dyDescent="0.25">
      <c r="E216" t="str">
        <f>IF(Sheet1!D216&gt;120,"Long","Short")</f>
        <v>Short</v>
      </c>
      <c r="F216" t="str">
        <f>_xlfn.CONCAT(Sheet1!A216," -",Sheet1!B216)</f>
        <v>M1214 -Movie_214</v>
      </c>
      <c r="G216" t="str">
        <f>LEFT(Sheet1!F216,3)</f>
        <v>Eng</v>
      </c>
      <c r="H216" t="str">
        <f>RIGHT(Sheet1!G216,2)</f>
        <v>92</v>
      </c>
      <c r="I216">
        <f>LEN(Sheet1!B216)</f>
        <v>9</v>
      </c>
      <c r="J216" t="str">
        <f>TRIM(Sheet1!C216)</f>
        <v>Comedy</v>
      </c>
      <c r="K216" t="str">
        <f>VLOOKUP(Sheet1!A216,Sheet1!A216:I715,3,0)</f>
        <v>Comedy</v>
      </c>
      <c r="L216">
        <f>VLOOKUP(Sheet1!B216,Sheet1!B216:I715,3,0)</f>
        <v>65</v>
      </c>
    </row>
    <row r="217" spans="5:12" x14ac:dyDescent="0.25">
      <c r="E217" t="str">
        <f>IF(Sheet1!D217&gt;120,"Long","Short")</f>
        <v>Short</v>
      </c>
      <c r="F217" t="str">
        <f>_xlfn.CONCAT(Sheet1!A217," -",Sheet1!B217)</f>
        <v>M1215 -Movie_215</v>
      </c>
      <c r="G217" t="str">
        <f>LEFT(Sheet1!F217,3)</f>
        <v>Fre</v>
      </c>
      <c r="H217" t="str">
        <f>RIGHT(Sheet1!G217,2)</f>
        <v>95</v>
      </c>
      <c r="I217">
        <f>LEN(Sheet1!B217)</f>
        <v>9</v>
      </c>
      <c r="J217" t="str">
        <f>TRIM(Sheet1!C217)</f>
        <v>Drama</v>
      </c>
      <c r="K217" t="str">
        <f>VLOOKUP(Sheet1!A217,Sheet1!A217:I716,3,0)</f>
        <v>Drama</v>
      </c>
      <c r="L217">
        <f>VLOOKUP(Sheet1!B217,Sheet1!B217:I716,3,0)</f>
        <v>99</v>
      </c>
    </row>
    <row r="218" spans="5:12" x14ac:dyDescent="0.25">
      <c r="E218" t="str">
        <f>IF(Sheet1!D218&gt;120,"Long","Short")</f>
        <v>Long</v>
      </c>
      <c r="F218" t="str">
        <f>_xlfn.CONCAT(Sheet1!A218," -",Sheet1!B218)</f>
        <v>M1216 -Movie_216</v>
      </c>
      <c r="G218" t="str">
        <f>LEFT(Sheet1!F218,3)</f>
        <v>Spa</v>
      </c>
      <c r="H218" t="str">
        <f>RIGHT(Sheet1!G218,2)</f>
        <v>97</v>
      </c>
      <c r="I218">
        <f>LEN(Sheet1!B218)</f>
        <v>9</v>
      </c>
      <c r="J218" t="str">
        <f>TRIM(Sheet1!C218)</f>
        <v>Sci-Fi</v>
      </c>
      <c r="K218" t="str">
        <f>VLOOKUP(Sheet1!A218,Sheet1!A218:I717,3,0)</f>
        <v>Sci-Fi</v>
      </c>
      <c r="L218">
        <f>VLOOKUP(Sheet1!B218,Sheet1!B218:I717,3,0)</f>
        <v>121</v>
      </c>
    </row>
    <row r="219" spans="5:12" x14ac:dyDescent="0.25">
      <c r="E219" t="str">
        <f>IF(Sheet1!D219&gt;120,"Long","Short")</f>
        <v>Short</v>
      </c>
      <c r="F219" t="str">
        <f>_xlfn.CONCAT(Sheet1!A219," -",Sheet1!B219)</f>
        <v>M1217 -Movie_217</v>
      </c>
      <c r="G219" t="str">
        <f>LEFT(Sheet1!F219,3)</f>
        <v>Jap</v>
      </c>
      <c r="H219" t="str">
        <f>RIGHT(Sheet1!G219,2)</f>
        <v>15</v>
      </c>
      <c r="I219">
        <f>LEN(Sheet1!B219)</f>
        <v>9</v>
      </c>
      <c r="J219" t="str">
        <f>TRIM(Sheet1!C219)</f>
        <v>Sci-Fi</v>
      </c>
      <c r="K219" t="str">
        <f>VLOOKUP(Sheet1!A219,Sheet1!A219:I718,3,0)</f>
        <v>Sci-Fi</v>
      </c>
      <c r="L219">
        <f>VLOOKUP(Sheet1!B219,Sheet1!B219:I718,3,0)</f>
        <v>92</v>
      </c>
    </row>
    <row r="220" spans="5:12" x14ac:dyDescent="0.25">
      <c r="E220" t="str">
        <f>IF(Sheet1!D220&gt;120,"Long","Short")</f>
        <v>Long</v>
      </c>
      <c r="F220" t="str">
        <f>_xlfn.CONCAT(Sheet1!A220," -",Sheet1!B220)</f>
        <v>M1218 -Movie_218</v>
      </c>
      <c r="G220" t="str">
        <f>LEFT(Sheet1!F220,3)</f>
        <v>Jap</v>
      </c>
      <c r="H220" t="str">
        <f>RIGHT(Sheet1!G220,2)</f>
        <v>99</v>
      </c>
      <c r="I220">
        <f>LEN(Sheet1!B220)</f>
        <v>9</v>
      </c>
      <c r="J220" t="str">
        <f>TRIM(Sheet1!C220)</f>
        <v>Thriller</v>
      </c>
      <c r="K220" t="str">
        <f>VLOOKUP(Sheet1!A220,Sheet1!A220:I719,3,0)</f>
        <v>Thriller</v>
      </c>
      <c r="L220">
        <f>VLOOKUP(Sheet1!B220,Sheet1!B220:I719,3,0)</f>
        <v>181</v>
      </c>
    </row>
    <row r="221" spans="5:12" x14ac:dyDescent="0.25">
      <c r="E221" t="str">
        <f>IF(Sheet1!D221&gt;120,"Long","Short")</f>
        <v>Short</v>
      </c>
      <c r="F221" t="str">
        <f>_xlfn.CONCAT(Sheet1!A221," -",Sheet1!B221)</f>
        <v>M1219 -Movie_219</v>
      </c>
      <c r="G221" t="str">
        <f>LEFT(Sheet1!F221,3)</f>
        <v>Jap</v>
      </c>
      <c r="H221" t="str">
        <f>RIGHT(Sheet1!G221,2)</f>
        <v>94</v>
      </c>
      <c r="I221">
        <f>LEN(Sheet1!B221)</f>
        <v>9</v>
      </c>
      <c r="J221" t="str">
        <f>TRIM(Sheet1!C221)</f>
        <v>Comedy</v>
      </c>
      <c r="K221" t="str">
        <f>VLOOKUP(Sheet1!A221,Sheet1!A221:I720,3,0)</f>
        <v>Comedy</v>
      </c>
      <c r="L221">
        <f>VLOOKUP(Sheet1!B221,Sheet1!B221:I720,3,0)</f>
        <v>89</v>
      </c>
    </row>
    <row r="222" spans="5:12" x14ac:dyDescent="0.25">
      <c r="E222" t="str">
        <f>IF(Sheet1!D222&gt;120,"Long","Short")</f>
        <v>Short</v>
      </c>
      <c r="F222" t="str">
        <f>_xlfn.CONCAT(Sheet1!A222," -",Sheet1!B222)</f>
        <v>M1220 -Movie_220</v>
      </c>
      <c r="G222" t="str">
        <f>LEFT(Sheet1!F222,3)</f>
        <v>Eng</v>
      </c>
      <c r="H222" t="str">
        <f>RIGHT(Sheet1!G222,2)</f>
        <v>99</v>
      </c>
      <c r="I222">
        <f>LEN(Sheet1!B222)</f>
        <v>9</v>
      </c>
      <c r="J222" t="str">
        <f>TRIM(Sheet1!C222)</f>
        <v>Sci-Fi</v>
      </c>
      <c r="K222" t="str">
        <f>VLOOKUP(Sheet1!A222,Sheet1!A222:I721,3,0)</f>
        <v>Sci-Fi</v>
      </c>
      <c r="L222">
        <f>VLOOKUP(Sheet1!B222,Sheet1!B222:I721,3,0)</f>
        <v>115</v>
      </c>
    </row>
    <row r="223" spans="5:12" x14ac:dyDescent="0.25">
      <c r="E223" t="str">
        <f>IF(Sheet1!D223&gt;120,"Long","Short")</f>
        <v>Long</v>
      </c>
      <c r="F223" t="str">
        <f>_xlfn.CONCAT(Sheet1!A223," -",Sheet1!B223)</f>
        <v>M1221 -Movie_221</v>
      </c>
      <c r="G223" t="str">
        <f>LEFT(Sheet1!F223,3)</f>
        <v>Hin</v>
      </c>
      <c r="H223" t="str">
        <f>RIGHT(Sheet1!G223,2)</f>
        <v>98</v>
      </c>
      <c r="I223">
        <f>LEN(Sheet1!B223)</f>
        <v>9</v>
      </c>
      <c r="J223" t="str">
        <f>TRIM(Sheet1!C223)</f>
        <v>Horror</v>
      </c>
      <c r="K223" t="str">
        <f>VLOOKUP(Sheet1!A223,Sheet1!A223:I722,3,0)</f>
        <v>Horror</v>
      </c>
      <c r="L223">
        <f>VLOOKUP(Sheet1!B223,Sheet1!B223:I722,3,0)</f>
        <v>179</v>
      </c>
    </row>
    <row r="224" spans="5:12" x14ac:dyDescent="0.25">
      <c r="E224" t="str">
        <f>IF(Sheet1!D224&gt;120,"Long","Short")</f>
        <v>Long</v>
      </c>
      <c r="F224" t="str">
        <f>_xlfn.CONCAT(Sheet1!A224," -",Sheet1!B224)</f>
        <v>M1222 -Movie_222</v>
      </c>
      <c r="G224" t="str">
        <f>LEFT(Sheet1!F224,3)</f>
        <v>Jap</v>
      </c>
      <c r="H224" t="str">
        <f>RIGHT(Sheet1!G224,2)</f>
        <v>25</v>
      </c>
      <c r="I224">
        <f>LEN(Sheet1!B224)</f>
        <v>9</v>
      </c>
      <c r="J224" t="str">
        <f>TRIM(Sheet1!C224)</f>
        <v>Horror</v>
      </c>
      <c r="K224" t="str">
        <f>VLOOKUP(Sheet1!A224,Sheet1!A224:I723,3,0)</f>
        <v>Horror</v>
      </c>
      <c r="L224">
        <f>VLOOKUP(Sheet1!B224,Sheet1!B224:I723,3,0)</f>
        <v>125</v>
      </c>
    </row>
    <row r="225" spans="5:12" x14ac:dyDescent="0.25">
      <c r="E225" t="str">
        <f>IF(Sheet1!D225&gt;120,"Long","Short")</f>
        <v>Long</v>
      </c>
      <c r="F225" t="str">
        <f>_xlfn.CONCAT(Sheet1!A225," -",Sheet1!B225)</f>
        <v>M1223 -Movie_223</v>
      </c>
      <c r="G225" t="str">
        <f>LEFT(Sheet1!F225,3)</f>
        <v>Fre</v>
      </c>
      <c r="H225" t="str">
        <f>RIGHT(Sheet1!G225,2)</f>
        <v>93</v>
      </c>
      <c r="I225">
        <f>LEN(Sheet1!B225)</f>
        <v>9</v>
      </c>
      <c r="J225" t="str">
        <f>TRIM(Sheet1!C225)</f>
        <v>Comedy</v>
      </c>
      <c r="K225" t="str">
        <f>VLOOKUP(Sheet1!A225,Sheet1!A225:I724,3,0)</f>
        <v>Comedy</v>
      </c>
      <c r="L225">
        <f>VLOOKUP(Sheet1!B225,Sheet1!B225:I724,3,0)</f>
        <v>154</v>
      </c>
    </row>
    <row r="226" spans="5:12" x14ac:dyDescent="0.25">
      <c r="E226" t="str">
        <f>IF(Sheet1!D226&gt;120,"Long","Short")</f>
        <v>Short</v>
      </c>
      <c r="F226" t="str">
        <f>_xlfn.CONCAT(Sheet1!A226," -",Sheet1!B226)</f>
        <v>M1224 -Movie_224</v>
      </c>
      <c r="G226" t="str">
        <f>LEFT(Sheet1!F226,3)</f>
        <v>Spa</v>
      </c>
      <c r="H226" t="str">
        <f>RIGHT(Sheet1!G226,2)</f>
        <v>24</v>
      </c>
      <c r="I226">
        <f>LEN(Sheet1!B226)</f>
        <v>9</v>
      </c>
      <c r="J226" t="str">
        <f>TRIM(Sheet1!C226)</f>
        <v>Horror</v>
      </c>
      <c r="K226" t="str">
        <f>VLOOKUP(Sheet1!A226,Sheet1!A226:I725,3,0)</f>
        <v>Horror</v>
      </c>
      <c r="L226">
        <f>VLOOKUP(Sheet1!B226,Sheet1!B226:I725,3,0)</f>
        <v>102</v>
      </c>
    </row>
    <row r="227" spans="5:12" x14ac:dyDescent="0.25">
      <c r="E227" t="str">
        <f>IF(Sheet1!D227&gt;120,"Long","Short")</f>
        <v>Short</v>
      </c>
      <c r="F227" t="str">
        <f>_xlfn.CONCAT(Sheet1!A227," -",Sheet1!B227)</f>
        <v>M1225 -Movie_225</v>
      </c>
      <c r="G227" t="str">
        <f>LEFT(Sheet1!F227,3)</f>
        <v>Eng</v>
      </c>
      <c r="H227" t="str">
        <f>RIGHT(Sheet1!G227,2)</f>
        <v>25</v>
      </c>
      <c r="I227">
        <f>LEN(Sheet1!B227)</f>
        <v>9</v>
      </c>
      <c r="J227" t="str">
        <f>TRIM(Sheet1!C227)</f>
        <v>Drama</v>
      </c>
      <c r="K227" t="str">
        <f>VLOOKUP(Sheet1!A227,Sheet1!A227:I726,3,0)</f>
        <v>Drama</v>
      </c>
      <c r="L227">
        <f>VLOOKUP(Sheet1!B227,Sheet1!B227:I726,3,0)</f>
        <v>89</v>
      </c>
    </row>
    <row r="228" spans="5:12" x14ac:dyDescent="0.25">
      <c r="E228" t="str">
        <f>IF(Sheet1!D228&gt;120,"Long","Short")</f>
        <v>Short</v>
      </c>
      <c r="F228" t="str">
        <f>_xlfn.CONCAT(Sheet1!A228," -",Sheet1!B228)</f>
        <v>M1226 -Movie_226</v>
      </c>
      <c r="G228" t="str">
        <f>LEFT(Sheet1!F228,3)</f>
        <v>Fre</v>
      </c>
      <c r="H228" t="str">
        <f>RIGHT(Sheet1!G228,2)</f>
        <v>11</v>
      </c>
      <c r="I228">
        <f>LEN(Sheet1!B228)</f>
        <v>9</v>
      </c>
      <c r="J228" t="str">
        <f>TRIM(Sheet1!C228)</f>
        <v>Thriller</v>
      </c>
      <c r="K228" t="str">
        <f>VLOOKUP(Sheet1!A228,Sheet1!A228:I727,3,0)</f>
        <v>Thriller</v>
      </c>
      <c r="L228">
        <f>VLOOKUP(Sheet1!B228,Sheet1!B228:I727,3,0)</f>
        <v>101</v>
      </c>
    </row>
    <row r="229" spans="5:12" x14ac:dyDescent="0.25">
      <c r="E229" t="str">
        <f>IF(Sheet1!D229&gt;120,"Long","Short")</f>
        <v>Long</v>
      </c>
      <c r="F229" t="str">
        <f>_xlfn.CONCAT(Sheet1!A229," -",Sheet1!B229)</f>
        <v>M1227 -Movie_227</v>
      </c>
      <c r="G229" t="str">
        <f>LEFT(Sheet1!F229,3)</f>
        <v>Hin</v>
      </c>
      <c r="H229" t="str">
        <f>RIGHT(Sheet1!G229,2)</f>
        <v>00</v>
      </c>
      <c r="I229">
        <f>LEN(Sheet1!B229)</f>
        <v>9</v>
      </c>
      <c r="J229" t="str">
        <f>TRIM(Sheet1!C229)</f>
        <v>Horror</v>
      </c>
      <c r="K229" t="str">
        <f>VLOOKUP(Sheet1!A229,Sheet1!A229:I728,3,0)</f>
        <v>Horror</v>
      </c>
      <c r="L229">
        <f>VLOOKUP(Sheet1!B229,Sheet1!B229:I728,3,0)</f>
        <v>139</v>
      </c>
    </row>
    <row r="230" spans="5:12" x14ac:dyDescent="0.25">
      <c r="E230" t="str">
        <f>IF(Sheet1!D230&gt;120,"Long","Short")</f>
        <v>Short</v>
      </c>
      <c r="F230" t="str">
        <f>_xlfn.CONCAT(Sheet1!A230," -",Sheet1!B230)</f>
        <v>M1228 -Movie_228</v>
      </c>
      <c r="G230" t="str">
        <f>LEFT(Sheet1!F230,3)</f>
        <v>Fre</v>
      </c>
      <c r="H230" t="str">
        <f>RIGHT(Sheet1!G230,2)</f>
        <v>10</v>
      </c>
      <c r="I230">
        <f>LEN(Sheet1!B230)</f>
        <v>9</v>
      </c>
      <c r="J230" t="str">
        <f>TRIM(Sheet1!C230)</f>
        <v>Horror</v>
      </c>
      <c r="K230" t="str">
        <f>VLOOKUP(Sheet1!A230,Sheet1!A230:I729,3,0)</f>
        <v>Horror</v>
      </c>
      <c r="L230">
        <f>VLOOKUP(Sheet1!B230,Sheet1!B230:I729,3,0)</f>
        <v>87</v>
      </c>
    </row>
    <row r="231" spans="5:12" x14ac:dyDescent="0.25">
      <c r="E231" t="str">
        <f>IF(Sheet1!D231&gt;120,"Long","Short")</f>
        <v>Short</v>
      </c>
      <c r="F231" t="str">
        <f>_xlfn.CONCAT(Sheet1!A231," -",Sheet1!B231)</f>
        <v>M1229 -Movie_229</v>
      </c>
      <c r="G231" t="str">
        <f>LEFT(Sheet1!F231,3)</f>
        <v>Jap</v>
      </c>
      <c r="H231" t="str">
        <f>RIGHT(Sheet1!G231,2)</f>
        <v>02</v>
      </c>
      <c r="I231">
        <f>LEN(Sheet1!B231)</f>
        <v>9</v>
      </c>
      <c r="J231" t="str">
        <f>TRIM(Sheet1!C231)</f>
        <v>Drama</v>
      </c>
      <c r="K231" t="str">
        <f>VLOOKUP(Sheet1!A231,Sheet1!A231:I730,3,0)</f>
        <v>Drama</v>
      </c>
      <c r="L231">
        <f>VLOOKUP(Sheet1!B231,Sheet1!B231:I730,3,0)</f>
        <v>66</v>
      </c>
    </row>
    <row r="232" spans="5:12" x14ac:dyDescent="0.25">
      <c r="E232" t="str">
        <f>IF(Sheet1!D232&gt;120,"Long","Short")</f>
        <v>Long</v>
      </c>
      <c r="F232" t="str">
        <f>_xlfn.CONCAT(Sheet1!A232," -",Sheet1!B232)</f>
        <v>M1230 -Movie_230</v>
      </c>
      <c r="G232" t="str">
        <f>LEFT(Sheet1!F232,3)</f>
        <v>Spa</v>
      </c>
      <c r="H232" t="str">
        <f>RIGHT(Sheet1!G232,2)</f>
        <v>15</v>
      </c>
      <c r="I232">
        <f>LEN(Sheet1!B232)</f>
        <v>9</v>
      </c>
      <c r="J232" t="str">
        <f>TRIM(Sheet1!C232)</f>
        <v>Thriller</v>
      </c>
      <c r="K232" t="str">
        <f>VLOOKUP(Sheet1!A232,Sheet1!A232:I731,3,0)</f>
        <v>Thriller</v>
      </c>
      <c r="L232">
        <f>VLOOKUP(Sheet1!B232,Sheet1!B232:I731,3,0)</f>
        <v>139</v>
      </c>
    </row>
    <row r="233" spans="5:12" x14ac:dyDescent="0.25">
      <c r="E233" t="str">
        <f>IF(Sheet1!D233&gt;120,"Long","Short")</f>
        <v>Long</v>
      </c>
      <c r="F233" t="str">
        <f>_xlfn.CONCAT(Sheet1!A233," -",Sheet1!B233)</f>
        <v>M1231 -Movie_231</v>
      </c>
      <c r="G233" t="str">
        <f>LEFT(Sheet1!F233,3)</f>
        <v>Jap</v>
      </c>
      <c r="H233" t="str">
        <f>RIGHT(Sheet1!G233,2)</f>
        <v>97</v>
      </c>
      <c r="I233">
        <f>LEN(Sheet1!B233)</f>
        <v>9</v>
      </c>
      <c r="J233" t="str">
        <f>TRIM(Sheet1!C233)</f>
        <v>Sci-Fi</v>
      </c>
      <c r="K233" t="str">
        <f>VLOOKUP(Sheet1!A233,Sheet1!A233:I732,3,0)</f>
        <v>Sci-Fi</v>
      </c>
      <c r="L233">
        <f>VLOOKUP(Sheet1!B233,Sheet1!B233:I732,3,0)</f>
        <v>156</v>
      </c>
    </row>
    <row r="234" spans="5:12" x14ac:dyDescent="0.25">
      <c r="E234" t="str">
        <f>IF(Sheet1!D234&gt;120,"Long","Short")</f>
        <v>Long</v>
      </c>
      <c r="F234" t="str">
        <f>_xlfn.CONCAT(Sheet1!A234," -",Sheet1!B234)</f>
        <v>M1232 -Movie_232</v>
      </c>
      <c r="G234" t="str">
        <f>LEFT(Sheet1!F234,3)</f>
        <v>Ger</v>
      </c>
      <c r="H234" t="str">
        <f>RIGHT(Sheet1!G234,2)</f>
        <v>98</v>
      </c>
      <c r="I234">
        <f>LEN(Sheet1!B234)</f>
        <v>9</v>
      </c>
      <c r="J234" t="str">
        <f>TRIM(Sheet1!C234)</f>
        <v>Thriller</v>
      </c>
      <c r="K234" t="str">
        <f>VLOOKUP(Sheet1!A234,Sheet1!A234:I733,3,0)</f>
        <v>Thriller</v>
      </c>
      <c r="L234">
        <f>VLOOKUP(Sheet1!B234,Sheet1!B234:I733,3,0)</f>
        <v>161</v>
      </c>
    </row>
    <row r="235" spans="5:12" x14ac:dyDescent="0.25">
      <c r="E235" t="str">
        <f>IF(Sheet1!D235&gt;120,"Long","Short")</f>
        <v>Short</v>
      </c>
      <c r="F235" t="str">
        <f>_xlfn.CONCAT(Sheet1!A235," -",Sheet1!B235)</f>
        <v>M1233 -Movie_233</v>
      </c>
      <c r="G235" t="str">
        <f>LEFT(Sheet1!F235,3)</f>
        <v>Jap</v>
      </c>
      <c r="H235" t="str">
        <f>RIGHT(Sheet1!G235,2)</f>
        <v>87</v>
      </c>
      <c r="I235">
        <f>LEN(Sheet1!B235)</f>
        <v>9</v>
      </c>
      <c r="J235" t="str">
        <f>TRIM(Sheet1!C235)</f>
        <v>Action</v>
      </c>
      <c r="K235" t="str">
        <f>VLOOKUP(Sheet1!A235,Sheet1!A235:I734,3,0)</f>
        <v>Action</v>
      </c>
      <c r="L235">
        <f>VLOOKUP(Sheet1!B235,Sheet1!B235:I734,3,0)</f>
        <v>110</v>
      </c>
    </row>
    <row r="236" spans="5:12" x14ac:dyDescent="0.25">
      <c r="E236" t="str">
        <f>IF(Sheet1!D236&gt;120,"Long","Short")</f>
        <v>Short</v>
      </c>
      <c r="F236" t="str">
        <f>_xlfn.CONCAT(Sheet1!A236," -",Sheet1!B236)</f>
        <v>M1234 -Movie_234</v>
      </c>
      <c r="G236" t="str">
        <f>LEFT(Sheet1!F236,3)</f>
        <v>Ger</v>
      </c>
      <c r="H236" t="str">
        <f>RIGHT(Sheet1!G236,2)</f>
        <v>16</v>
      </c>
      <c r="I236">
        <f>LEN(Sheet1!B236)</f>
        <v>9</v>
      </c>
      <c r="J236" t="str">
        <f>TRIM(Sheet1!C236)</f>
        <v>Comedy</v>
      </c>
      <c r="K236" t="str">
        <f>VLOOKUP(Sheet1!A236,Sheet1!A236:I735,3,0)</f>
        <v>Comedy</v>
      </c>
      <c r="L236">
        <f>VLOOKUP(Sheet1!B236,Sheet1!B236:I735,3,0)</f>
        <v>79</v>
      </c>
    </row>
    <row r="237" spans="5:12" x14ac:dyDescent="0.25">
      <c r="E237" t="str">
        <f>IF(Sheet1!D237&gt;120,"Long","Short")</f>
        <v>Long</v>
      </c>
      <c r="F237" t="str">
        <f>_xlfn.CONCAT(Sheet1!A237," -",Sheet1!B237)</f>
        <v>M1235 -Movie_235</v>
      </c>
      <c r="G237" t="str">
        <f>LEFT(Sheet1!F237,3)</f>
        <v>Jap</v>
      </c>
      <c r="H237" t="str">
        <f>RIGHT(Sheet1!G237,2)</f>
        <v>23</v>
      </c>
      <c r="I237">
        <f>LEN(Sheet1!B237)</f>
        <v>9</v>
      </c>
      <c r="J237" t="str">
        <f>TRIM(Sheet1!C237)</f>
        <v>Comedy</v>
      </c>
      <c r="K237" t="str">
        <f>VLOOKUP(Sheet1!A237,Sheet1!A237:I736,3,0)</f>
        <v>Comedy</v>
      </c>
      <c r="L237">
        <f>VLOOKUP(Sheet1!B237,Sheet1!B237:I736,3,0)</f>
        <v>122</v>
      </c>
    </row>
    <row r="238" spans="5:12" x14ac:dyDescent="0.25">
      <c r="E238" t="str">
        <f>IF(Sheet1!D238&gt;120,"Long","Short")</f>
        <v>Short</v>
      </c>
      <c r="F238" t="str">
        <f>_xlfn.CONCAT(Sheet1!A238," -",Sheet1!B238)</f>
        <v>M1236 -Movie_236</v>
      </c>
      <c r="G238" t="str">
        <f>LEFT(Sheet1!F238,3)</f>
        <v>Spa</v>
      </c>
      <c r="H238" t="str">
        <f>RIGHT(Sheet1!G238,2)</f>
        <v>14</v>
      </c>
      <c r="I238">
        <f>LEN(Sheet1!B238)</f>
        <v>9</v>
      </c>
      <c r="J238" t="str">
        <f>TRIM(Sheet1!C238)</f>
        <v>Action</v>
      </c>
      <c r="K238" t="str">
        <f>VLOOKUP(Sheet1!A238,Sheet1!A238:I737,3,0)</f>
        <v>Action</v>
      </c>
      <c r="L238">
        <f>VLOOKUP(Sheet1!B238,Sheet1!B238:I737,3,0)</f>
        <v>86</v>
      </c>
    </row>
    <row r="239" spans="5:12" x14ac:dyDescent="0.25">
      <c r="E239" t="str">
        <f>IF(Sheet1!D239&gt;120,"Long","Short")</f>
        <v>Long</v>
      </c>
      <c r="F239" t="str">
        <f>_xlfn.CONCAT(Sheet1!A239," -",Sheet1!B239)</f>
        <v>M1237 -Movie_237</v>
      </c>
      <c r="G239" t="str">
        <f>LEFT(Sheet1!F239,3)</f>
        <v>Spa</v>
      </c>
      <c r="H239" t="str">
        <f>RIGHT(Sheet1!G239,2)</f>
        <v>04</v>
      </c>
      <c r="I239">
        <f>LEN(Sheet1!B239)</f>
        <v>9</v>
      </c>
      <c r="J239" t="str">
        <f>TRIM(Sheet1!C239)</f>
        <v>Drama</v>
      </c>
      <c r="K239" t="str">
        <f>VLOOKUP(Sheet1!A239,Sheet1!A239:I738,3,0)</f>
        <v>Drama</v>
      </c>
      <c r="L239">
        <f>VLOOKUP(Sheet1!B239,Sheet1!B239:I738,3,0)</f>
        <v>137</v>
      </c>
    </row>
    <row r="240" spans="5:12" x14ac:dyDescent="0.25">
      <c r="E240" t="str">
        <f>IF(Sheet1!D240&gt;120,"Long","Short")</f>
        <v>Short</v>
      </c>
      <c r="F240" t="str">
        <f>_xlfn.CONCAT(Sheet1!A240," -",Sheet1!B240)</f>
        <v>M1238 -Movie_238</v>
      </c>
      <c r="G240" t="str">
        <f>LEFT(Sheet1!F240,3)</f>
        <v>Eng</v>
      </c>
      <c r="H240" t="str">
        <f>RIGHT(Sheet1!G240,2)</f>
        <v>05</v>
      </c>
      <c r="I240">
        <f>LEN(Sheet1!B240)</f>
        <v>9</v>
      </c>
      <c r="J240" t="str">
        <f>TRIM(Sheet1!C240)</f>
        <v>Action</v>
      </c>
      <c r="K240" t="str">
        <f>VLOOKUP(Sheet1!A240,Sheet1!A240:I739,3,0)</f>
        <v>Action</v>
      </c>
      <c r="L240">
        <f>VLOOKUP(Sheet1!B240,Sheet1!B240:I739,3,0)</f>
        <v>90</v>
      </c>
    </row>
    <row r="241" spans="5:12" x14ac:dyDescent="0.25">
      <c r="E241" t="str">
        <f>IF(Sheet1!D241&gt;120,"Long","Short")</f>
        <v>Short</v>
      </c>
      <c r="F241" t="str">
        <f>_xlfn.CONCAT(Sheet1!A241," -",Sheet1!B241)</f>
        <v>M1239 -Movie_239</v>
      </c>
      <c r="G241" t="str">
        <f>LEFT(Sheet1!F241,3)</f>
        <v>Jap</v>
      </c>
      <c r="H241" t="str">
        <f>RIGHT(Sheet1!G241,2)</f>
        <v>02</v>
      </c>
      <c r="I241">
        <f>LEN(Sheet1!B241)</f>
        <v>9</v>
      </c>
      <c r="J241" t="str">
        <f>TRIM(Sheet1!C241)</f>
        <v>Sci-Fi</v>
      </c>
      <c r="K241" t="str">
        <f>VLOOKUP(Sheet1!A241,Sheet1!A241:I740,3,0)</f>
        <v>Sci-Fi</v>
      </c>
      <c r="L241">
        <f>VLOOKUP(Sheet1!B241,Sheet1!B241:I740,3,0)</f>
        <v>70</v>
      </c>
    </row>
    <row r="242" spans="5:12" x14ac:dyDescent="0.25">
      <c r="E242" t="str">
        <f>IF(Sheet1!D242&gt;120,"Long","Short")</f>
        <v>Long</v>
      </c>
      <c r="F242" t="str">
        <f>_xlfn.CONCAT(Sheet1!A242," -",Sheet1!B242)</f>
        <v>M1240 -Movie_240</v>
      </c>
      <c r="G242" t="str">
        <f>LEFT(Sheet1!F242,3)</f>
        <v>Ger</v>
      </c>
      <c r="H242" t="str">
        <f>RIGHT(Sheet1!G242,2)</f>
        <v>89</v>
      </c>
      <c r="I242">
        <f>LEN(Sheet1!B242)</f>
        <v>9</v>
      </c>
      <c r="J242" t="str">
        <f>TRIM(Sheet1!C242)</f>
        <v>Sci-Fi</v>
      </c>
      <c r="K242" t="str">
        <f>VLOOKUP(Sheet1!A242,Sheet1!A242:I741,3,0)</f>
        <v>Sci-Fi</v>
      </c>
      <c r="L242">
        <f>VLOOKUP(Sheet1!B242,Sheet1!B242:I741,3,0)</f>
        <v>148</v>
      </c>
    </row>
    <row r="243" spans="5:12" x14ac:dyDescent="0.25">
      <c r="E243" t="str">
        <f>IF(Sheet1!D243&gt;120,"Long","Short")</f>
        <v>Long</v>
      </c>
      <c r="F243" t="str">
        <f>_xlfn.CONCAT(Sheet1!A243," -",Sheet1!B243)</f>
        <v>M1241 -Movie_241</v>
      </c>
      <c r="G243" t="str">
        <f>LEFT(Sheet1!F243,3)</f>
        <v>Eng</v>
      </c>
      <c r="H243" t="str">
        <f>RIGHT(Sheet1!G243,2)</f>
        <v>98</v>
      </c>
      <c r="I243">
        <f>LEN(Sheet1!B243)</f>
        <v>9</v>
      </c>
      <c r="J243" t="str">
        <f>TRIM(Sheet1!C243)</f>
        <v>Comedy</v>
      </c>
      <c r="K243" t="str">
        <f>VLOOKUP(Sheet1!A243,Sheet1!A243:I742,3,0)</f>
        <v>Comedy</v>
      </c>
      <c r="L243">
        <f>VLOOKUP(Sheet1!B243,Sheet1!B243:I742,3,0)</f>
        <v>196</v>
      </c>
    </row>
    <row r="244" spans="5:12" x14ac:dyDescent="0.25">
      <c r="E244" t="str">
        <f>IF(Sheet1!D244&gt;120,"Long","Short")</f>
        <v>Long</v>
      </c>
      <c r="F244" t="str">
        <f>_xlfn.CONCAT(Sheet1!A244," -",Sheet1!B244)</f>
        <v>M1242 -Movie_242</v>
      </c>
      <c r="G244" t="str">
        <f>LEFT(Sheet1!F244,3)</f>
        <v>Fre</v>
      </c>
      <c r="H244" t="str">
        <f>RIGHT(Sheet1!G244,2)</f>
        <v>82</v>
      </c>
      <c r="I244">
        <f>LEN(Sheet1!B244)</f>
        <v>9</v>
      </c>
      <c r="J244" t="str">
        <f>TRIM(Sheet1!C244)</f>
        <v>Sci-Fi</v>
      </c>
      <c r="K244" t="str">
        <f>VLOOKUP(Sheet1!A244,Sheet1!A244:I743,3,0)</f>
        <v>Sci-Fi</v>
      </c>
      <c r="L244">
        <f>VLOOKUP(Sheet1!B244,Sheet1!B244:I743,3,0)</f>
        <v>169</v>
      </c>
    </row>
    <row r="245" spans="5:12" x14ac:dyDescent="0.25">
      <c r="E245" t="str">
        <f>IF(Sheet1!D245&gt;120,"Long","Short")</f>
        <v>Long</v>
      </c>
      <c r="F245" t="str">
        <f>_xlfn.CONCAT(Sheet1!A245," -",Sheet1!B245)</f>
        <v>M1243 -Movie_243</v>
      </c>
      <c r="G245" t="str">
        <f>LEFT(Sheet1!F245,3)</f>
        <v>Spa</v>
      </c>
      <c r="H245" t="str">
        <f>RIGHT(Sheet1!G245,2)</f>
        <v>98</v>
      </c>
      <c r="I245">
        <f>LEN(Sheet1!B245)</f>
        <v>9</v>
      </c>
      <c r="J245" t="str">
        <f>TRIM(Sheet1!C245)</f>
        <v>Comedy</v>
      </c>
      <c r="K245" t="str">
        <f>VLOOKUP(Sheet1!A245,Sheet1!A245:I744,3,0)</f>
        <v>Comedy</v>
      </c>
      <c r="L245">
        <f>VLOOKUP(Sheet1!B245,Sheet1!B245:I744,3,0)</f>
        <v>154</v>
      </c>
    </row>
    <row r="246" spans="5:12" x14ac:dyDescent="0.25">
      <c r="E246" t="str">
        <f>IF(Sheet1!D246&gt;120,"Long","Short")</f>
        <v>Short</v>
      </c>
      <c r="F246" t="str">
        <f>_xlfn.CONCAT(Sheet1!A246," -",Sheet1!B246)</f>
        <v>M1244 -Movie_244</v>
      </c>
      <c r="G246" t="str">
        <f>LEFT(Sheet1!F246,3)</f>
        <v>Eng</v>
      </c>
      <c r="H246" t="str">
        <f>RIGHT(Sheet1!G246,2)</f>
        <v>25</v>
      </c>
      <c r="I246">
        <f>LEN(Sheet1!B246)</f>
        <v>9</v>
      </c>
      <c r="J246" t="str">
        <f>TRIM(Sheet1!C246)</f>
        <v>Action</v>
      </c>
      <c r="K246" t="str">
        <f>VLOOKUP(Sheet1!A246,Sheet1!A246:I745,3,0)</f>
        <v>Action</v>
      </c>
      <c r="L246">
        <f>VLOOKUP(Sheet1!B246,Sheet1!B246:I745,3,0)</f>
        <v>77</v>
      </c>
    </row>
    <row r="247" spans="5:12" x14ac:dyDescent="0.25">
      <c r="E247" t="str">
        <f>IF(Sheet1!D247&gt;120,"Long","Short")</f>
        <v>Long</v>
      </c>
      <c r="F247" t="str">
        <f>_xlfn.CONCAT(Sheet1!A247," -",Sheet1!B247)</f>
        <v>M1245 -Movie_245</v>
      </c>
      <c r="G247" t="str">
        <f>LEFT(Sheet1!F247,3)</f>
        <v>Spa</v>
      </c>
      <c r="H247" t="str">
        <f>RIGHT(Sheet1!G247,2)</f>
        <v>85</v>
      </c>
      <c r="I247">
        <f>LEN(Sheet1!B247)</f>
        <v>9</v>
      </c>
      <c r="J247" t="str">
        <f>TRIM(Sheet1!C247)</f>
        <v>Action</v>
      </c>
      <c r="K247" t="str">
        <f>VLOOKUP(Sheet1!A247,Sheet1!A247:I746,3,0)</f>
        <v>Action</v>
      </c>
      <c r="L247">
        <f>VLOOKUP(Sheet1!B247,Sheet1!B247:I746,3,0)</f>
        <v>189</v>
      </c>
    </row>
    <row r="248" spans="5:12" x14ac:dyDescent="0.25">
      <c r="E248" t="str">
        <f>IF(Sheet1!D248&gt;120,"Long","Short")</f>
        <v>Long</v>
      </c>
      <c r="F248" t="str">
        <f>_xlfn.CONCAT(Sheet1!A248," -",Sheet1!B248)</f>
        <v>M1246 -Movie_246</v>
      </c>
      <c r="G248" t="str">
        <f>LEFT(Sheet1!F248,3)</f>
        <v>Eng</v>
      </c>
      <c r="H248" t="str">
        <f>RIGHT(Sheet1!G248,2)</f>
        <v>02</v>
      </c>
      <c r="I248">
        <f>LEN(Sheet1!B248)</f>
        <v>9</v>
      </c>
      <c r="J248" t="str">
        <f>TRIM(Sheet1!C248)</f>
        <v>Horror</v>
      </c>
      <c r="K248" t="str">
        <f>VLOOKUP(Sheet1!A248,Sheet1!A248:I747,3,0)</f>
        <v>Horror</v>
      </c>
      <c r="L248">
        <f>VLOOKUP(Sheet1!B248,Sheet1!B248:I747,3,0)</f>
        <v>147</v>
      </c>
    </row>
    <row r="249" spans="5:12" x14ac:dyDescent="0.25">
      <c r="E249" t="str">
        <f>IF(Sheet1!D249&gt;120,"Long","Short")</f>
        <v>Short</v>
      </c>
      <c r="F249" t="str">
        <f>_xlfn.CONCAT(Sheet1!A249," -",Sheet1!B249)</f>
        <v>M1247 -Movie_247</v>
      </c>
      <c r="G249" t="str">
        <f>LEFT(Sheet1!F249,3)</f>
        <v>Fre</v>
      </c>
      <c r="H249" t="str">
        <f>RIGHT(Sheet1!G249,2)</f>
        <v>08</v>
      </c>
      <c r="I249">
        <f>LEN(Sheet1!B249)</f>
        <v>9</v>
      </c>
      <c r="J249" t="str">
        <f>TRIM(Sheet1!C249)</f>
        <v>Horror</v>
      </c>
      <c r="K249" t="str">
        <f>VLOOKUP(Sheet1!A249,Sheet1!A249:I748,3,0)</f>
        <v>Horror</v>
      </c>
      <c r="L249">
        <f>VLOOKUP(Sheet1!B249,Sheet1!B249:I748,3,0)</f>
        <v>63</v>
      </c>
    </row>
    <row r="250" spans="5:12" x14ac:dyDescent="0.25">
      <c r="E250" t="str">
        <f>IF(Sheet1!D250&gt;120,"Long","Short")</f>
        <v>Long</v>
      </c>
      <c r="F250" t="str">
        <f>_xlfn.CONCAT(Sheet1!A250," -",Sheet1!B250)</f>
        <v>M1248 -Movie_248</v>
      </c>
      <c r="G250" t="str">
        <f>LEFT(Sheet1!F250,3)</f>
        <v>Fre</v>
      </c>
      <c r="H250" t="str">
        <f>RIGHT(Sheet1!G250,2)</f>
        <v>21</v>
      </c>
      <c r="I250">
        <f>LEN(Sheet1!B250)</f>
        <v>9</v>
      </c>
      <c r="J250" t="str">
        <f>TRIM(Sheet1!C250)</f>
        <v>Action</v>
      </c>
      <c r="K250" t="str">
        <f>VLOOKUP(Sheet1!A250,Sheet1!A250:I749,3,0)</f>
        <v>Action</v>
      </c>
      <c r="L250">
        <f>VLOOKUP(Sheet1!B250,Sheet1!B250:I749,3,0)</f>
        <v>167</v>
      </c>
    </row>
    <row r="251" spans="5:12" x14ac:dyDescent="0.25">
      <c r="E251" t="str">
        <f>IF(Sheet1!D251&gt;120,"Long","Short")</f>
        <v>Long</v>
      </c>
      <c r="F251" t="str">
        <f>_xlfn.CONCAT(Sheet1!A251," -",Sheet1!B251)</f>
        <v>M1249 -Movie_249</v>
      </c>
      <c r="G251" t="str">
        <f>LEFT(Sheet1!F251,3)</f>
        <v>Hin</v>
      </c>
      <c r="H251" t="str">
        <f>RIGHT(Sheet1!G251,2)</f>
        <v>96</v>
      </c>
      <c r="I251">
        <f>LEN(Sheet1!B251)</f>
        <v>9</v>
      </c>
      <c r="J251" t="str">
        <f>TRIM(Sheet1!C251)</f>
        <v>Comedy</v>
      </c>
      <c r="K251" t="str">
        <f>VLOOKUP(Sheet1!A251,Sheet1!A251:I750,3,0)</f>
        <v>Comedy</v>
      </c>
      <c r="L251">
        <f>VLOOKUP(Sheet1!B251,Sheet1!B251:I750,3,0)</f>
        <v>185</v>
      </c>
    </row>
    <row r="252" spans="5:12" x14ac:dyDescent="0.25">
      <c r="E252" t="str">
        <f>IF(Sheet1!D252&gt;120,"Long","Short")</f>
        <v>Short</v>
      </c>
      <c r="F252" t="str">
        <f>_xlfn.CONCAT(Sheet1!A252," -",Sheet1!B252)</f>
        <v>M1250 -Movie_250</v>
      </c>
      <c r="G252" t="str">
        <f>LEFT(Sheet1!F252,3)</f>
        <v>Ger</v>
      </c>
      <c r="H252" t="str">
        <f>RIGHT(Sheet1!G252,2)</f>
        <v>10</v>
      </c>
      <c r="I252">
        <f>LEN(Sheet1!B252)</f>
        <v>9</v>
      </c>
      <c r="J252" t="str">
        <f>TRIM(Sheet1!C252)</f>
        <v>Action</v>
      </c>
      <c r="K252" t="str">
        <f>VLOOKUP(Sheet1!A252,Sheet1!A252:I751,3,0)</f>
        <v>Action</v>
      </c>
      <c r="L252">
        <f>VLOOKUP(Sheet1!B252,Sheet1!B252:I751,3,0)</f>
        <v>87</v>
      </c>
    </row>
    <row r="253" spans="5:12" x14ac:dyDescent="0.25">
      <c r="E253" t="str">
        <f>IF(Sheet1!D253&gt;120,"Long","Short")</f>
        <v>Long</v>
      </c>
      <c r="F253" t="str">
        <f>_xlfn.CONCAT(Sheet1!A253," -",Sheet1!B253)</f>
        <v>M1251 -Movie_251</v>
      </c>
      <c r="G253" t="str">
        <f>LEFT(Sheet1!F253,3)</f>
        <v>Hin</v>
      </c>
      <c r="H253" t="str">
        <f>RIGHT(Sheet1!G253,2)</f>
        <v>93</v>
      </c>
      <c r="I253">
        <f>LEN(Sheet1!B253)</f>
        <v>9</v>
      </c>
      <c r="J253" t="str">
        <f>TRIM(Sheet1!C253)</f>
        <v>Action</v>
      </c>
      <c r="K253" t="str">
        <f>VLOOKUP(Sheet1!A253,Sheet1!A253:I752,3,0)</f>
        <v>Action</v>
      </c>
      <c r="L253">
        <f>VLOOKUP(Sheet1!B253,Sheet1!B253:I752,3,0)</f>
        <v>170</v>
      </c>
    </row>
    <row r="254" spans="5:12" x14ac:dyDescent="0.25">
      <c r="E254" t="str">
        <f>IF(Sheet1!D254&gt;120,"Long","Short")</f>
        <v>Long</v>
      </c>
      <c r="F254" t="str">
        <f>_xlfn.CONCAT(Sheet1!A254," -",Sheet1!B254)</f>
        <v>M1252 -Movie_252</v>
      </c>
      <c r="G254" t="str">
        <f>LEFT(Sheet1!F254,3)</f>
        <v>Ger</v>
      </c>
      <c r="H254" t="str">
        <f>RIGHT(Sheet1!G254,2)</f>
        <v>92</v>
      </c>
      <c r="I254">
        <f>LEN(Sheet1!B254)</f>
        <v>9</v>
      </c>
      <c r="J254" t="str">
        <f>TRIM(Sheet1!C254)</f>
        <v>Drama</v>
      </c>
      <c r="K254" t="str">
        <f>VLOOKUP(Sheet1!A254,Sheet1!A254:I753,3,0)</f>
        <v>Drama</v>
      </c>
      <c r="L254">
        <f>VLOOKUP(Sheet1!B254,Sheet1!B254:I753,3,0)</f>
        <v>152</v>
      </c>
    </row>
    <row r="255" spans="5:12" x14ac:dyDescent="0.25">
      <c r="E255" t="str">
        <f>IF(Sheet1!D255&gt;120,"Long","Short")</f>
        <v>Long</v>
      </c>
      <c r="F255" t="str">
        <f>_xlfn.CONCAT(Sheet1!A255," -",Sheet1!B255)</f>
        <v>M1253 -Movie_253</v>
      </c>
      <c r="G255" t="str">
        <f>LEFT(Sheet1!F255,3)</f>
        <v>Fre</v>
      </c>
      <c r="H255" t="str">
        <f>RIGHT(Sheet1!G255,2)</f>
        <v>14</v>
      </c>
      <c r="I255">
        <f>LEN(Sheet1!B255)</f>
        <v>9</v>
      </c>
      <c r="J255" t="str">
        <f>TRIM(Sheet1!C255)</f>
        <v>Action</v>
      </c>
      <c r="K255" t="str">
        <f>VLOOKUP(Sheet1!A255,Sheet1!A255:I754,3,0)</f>
        <v>Action</v>
      </c>
      <c r="L255">
        <f>VLOOKUP(Sheet1!B255,Sheet1!B255:I754,3,0)</f>
        <v>177</v>
      </c>
    </row>
    <row r="256" spans="5:12" x14ac:dyDescent="0.25">
      <c r="E256" t="str">
        <f>IF(Sheet1!D256&gt;120,"Long","Short")</f>
        <v>Short</v>
      </c>
      <c r="F256" t="str">
        <f>_xlfn.CONCAT(Sheet1!A256," -",Sheet1!B256)</f>
        <v>M1254 -Movie_254</v>
      </c>
      <c r="G256" t="str">
        <f>LEFT(Sheet1!F256,3)</f>
        <v>Eng</v>
      </c>
      <c r="H256" t="str">
        <f>RIGHT(Sheet1!G256,2)</f>
        <v>97</v>
      </c>
      <c r="I256">
        <f>LEN(Sheet1!B256)</f>
        <v>9</v>
      </c>
      <c r="J256" t="str">
        <f>TRIM(Sheet1!C256)</f>
        <v>Sci-Fi</v>
      </c>
      <c r="K256" t="str">
        <f>VLOOKUP(Sheet1!A256,Sheet1!A256:I755,3,0)</f>
        <v>Sci-Fi</v>
      </c>
      <c r="L256">
        <f>VLOOKUP(Sheet1!B256,Sheet1!B256:I755,3,0)</f>
        <v>99</v>
      </c>
    </row>
    <row r="257" spans="5:12" x14ac:dyDescent="0.25">
      <c r="E257" t="str">
        <f>IF(Sheet1!D257&gt;120,"Long","Short")</f>
        <v>Long</v>
      </c>
      <c r="F257" t="str">
        <f>_xlfn.CONCAT(Sheet1!A257," -",Sheet1!B257)</f>
        <v>M1255 -Movie_255</v>
      </c>
      <c r="G257" t="str">
        <f>LEFT(Sheet1!F257,3)</f>
        <v>Jap</v>
      </c>
      <c r="H257" t="str">
        <f>RIGHT(Sheet1!G257,2)</f>
        <v>15</v>
      </c>
      <c r="I257">
        <f>LEN(Sheet1!B257)</f>
        <v>9</v>
      </c>
      <c r="J257" t="str">
        <f>TRIM(Sheet1!C257)</f>
        <v>Comedy</v>
      </c>
      <c r="K257" t="str">
        <f>VLOOKUP(Sheet1!A257,Sheet1!A257:I756,3,0)</f>
        <v>Comedy</v>
      </c>
      <c r="L257">
        <f>VLOOKUP(Sheet1!B257,Sheet1!B257:I756,3,0)</f>
        <v>171</v>
      </c>
    </row>
    <row r="258" spans="5:12" x14ac:dyDescent="0.25">
      <c r="E258" t="str">
        <f>IF(Sheet1!D258&gt;120,"Long","Short")</f>
        <v>Short</v>
      </c>
      <c r="F258" t="str">
        <f>_xlfn.CONCAT(Sheet1!A258," -",Sheet1!B258)</f>
        <v>M1256 -Movie_256</v>
      </c>
      <c r="G258" t="str">
        <f>LEFT(Sheet1!F258,3)</f>
        <v>Spa</v>
      </c>
      <c r="H258" t="str">
        <f>RIGHT(Sheet1!G258,2)</f>
        <v>24</v>
      </c>
      <c r="I258">
        <f>LEN(Sheet1!B258)</f>
        <v>9</v>
      </c>
      <c r="J258" t="str">
        <f>TRIM(Sheet1!C258)</f>
        <v>Drama</v>
      </c>
      <c r="K258" t="str">
        <f>VLOOKUP(Sheet1!A258,Sheet1!A258:I757,3,0)</f>
        <v>Drama</v>
      </c>
      <c r="L258">
        <f>VLOOKUP(Sheet1!B258,Sheet1!B258:I757,3,0)</f>
        <v>105</v>
      </c>
    </row>
    <row r="259" spans="5:12" x14ac:dyDescent="0.25">
      <c r="E259" t="str">
        <f>IF(Sheet1!D259&gt;120,"Long","Short")</f>
        <v>Long</v>
      </c>
      <c r="F259" t="str">
        <f>_xlfn.CONCAT(Sheet1!A259," -",Sheet1!B259)</f>
        <v>M1257 -Movie_257</v>
      </c>
      <c r="G259" t="str">
        <f>LEFT(Sheet1!F259,3)</f>
        <v>Fre</v>
      </c>
      <c r="H259" t="str">
        <f>RIGHT(Sheet1!G259,2)</f>
        <v>97</v>
      </c>
      <c r="I259">
        <f>LEN(Sheet1!B259)</f>
        <v>9</v>
      </c>
      <c r="J259" t="str">
        <f>TRIM(Sheet1!C259)</f>
        <v>Horror</v>
      </c>
      <c r="K259" t="str">
        <f>VLOOKUP(Sheet1!A259,Sheet1!A259:I758,3,0)</f>
        <v>Horror</v>
      </c>
      <c r="L259">
        <f>VLOOKUP(Sheet1!B259,Sheet1!B259:I758,3,0)</f>
        <v>193</v>
      </c>
    </row>
    <row r="260" spans="5:12" x14ac:dyDescent="0.25">
      <c r="E260" t="str">
        <f>IF(Sheet1!D260&gt;120,"Long","Short")</f>
        <v>Long</v>
      </c>
      <c r="F260" t="str">
        <f>_xlfn.CONCAT(Sheet1!A260," -",Sheet1!B260)</f>
        <v>M1258 -Movie_258</v>
      </c>
      <c r="G260" t="str">
        <f>LEFT(Sheet1!F260,3)</f>
        <v>Fre</v>
      </c>
      <c r="H260" t="str">
        <f>RIGHT(Sheet1!G260,2)</f>
        <v>88</v>
      </c>
      <c r="I260">
        <f>LEN(Sheet1!B260)</f>
        <v>9</v>
      </c>
      <c r="J260" t="str">
        <f>TRIM(Sheet1!C260)</f>
        <v>Thriller</v>
      </c>
      <c r="K260" t="str">
        <f>VLOOKUP(Sheet1!A260,Sheet1!A260:I759,3,0)</f>
        <v>Thriller</v>
      </c>
      <c r="L260">
        <f>VLOOKUP(Sheet1!B260,Sheet1!B260:I759,3,0)</f>
        <v>129</v>
      </c>
    </row>
    <row r="261" spans="5:12" x14ac:dyDescent="0.25">
      <c r="E261" t="str">
        <f>IF(Sheet1!D261&gt;120,"Long","Short")</f>
        <v>Long</v>
      </c>
      <c r="F261" t="str">
        <f>_xlfn.CONCAT(Sheet1!A261," -",Sheet1!B261)</f>
        <v>M1259 -Movie_259</v>
      </c>
      <c r="G261" t="str">
        <f>LEFT(Sheet1!F261,3)</f>
        <v>Eng</v>
      </c>
      <c r="H261" t="str">
        <f>RIGHT(Sheet1!G261,2)</f>
        <v>86</v>
      </c>
      <c r="I261">
        <f>LEN(Sheet1!B261)</f>
        <v>9</v>
      </c>
      <c r="J261" t="str">
        <f>TRIM(Sheet1!C261)</f>
        <v>Comedy</v>
      </c>
      <c r="K261" t="str">
        <f>VLOOKUP(Sheet1!A261,Sheet1!A261:I760,3,0)</f>
        <v>Comedy</v>
      </c>
      <c r="L261">
        <f>VLOOKUP(Sheet1!B261,Sheet1!B261:I760,3,0)</f>
        <v>197</v>
      </c>
    </row>
    <row r="262" spans="5:12" x14ac:dyDescent="0.25">
      <c r="E262" t="str">
        <f>IF(Sheet1!D262&gt;120,"Long","Short")</f>
        <v>Long</v>
      </c>
      <c r="F262" t="str">
        <f>_xlfn.CONCAT(Sheet1!A262," -",Sheet1!B262)</f>
        <v>M1260 -Movie_260</v>
      </c>
      <c r="G262" t="str">
        <f>LEFT(Sheet1!F262,3)</f>
        <v>Jap</v>
      </c>
      <c r="H262" t="str">
        <f>RIGHT(Sheet1!G262,2)</f>
        <v>19</v>
      </c>
      <c r="I262">
        <f>LEN(Sheet1!B262)</f>
        <v>9</v>
      </c>
      <c r="J262" t="str">
        <f>TRIM(Sheet1!C262)</f>
        <v>Sci-Fi</v>
      </c>
      <c r="K262" t="str">
        <f>VLOOKUP(Sheet1!A262,Sheet1!A262:I761,3,0)</f>
        <v>Sci-Fi</v>
      </c>
      <c r="L262">
        <f>VLOOKUP(Sheet1!B262,Sheet1!B262:I761,3,0)</f>
        <v>183</v>
      </c>
    </row>
    <row r="263" spans="5:12" x14ac:dyDescent="0.25">
      <c r="E263" t="str">
        <f>IF(Sheet1!D263&gt;120,"Long","Short")</f>
        <v>Long</v>
      </c>
      <c r="F263" t="str">
        <f>_xlfn.CONCAT(Sheet1!A263," -",Sheet1!B263)</f>
        <v>M1261 -Movie_261</v>
      </c>
      <c r="G263" t="str">
        <f>LEFT(Sheet1!F263,3)</f>
        <v>Fre</v>
      </c>
      <c r="H263" t="str">
        <f>RIGHT(Sheet1!G263,2)</f>
        <v>17</v>
      </c>
      <c r="I263">
        <f>LEN(Sheet1!B263)</f>
        <v>9</v>
      </c>
      <c r="J263" t="str">
        <f>TRIM(Sheet1!C263)</f>
        <v>Comedy</v>
      </c>
      <c r="K263" t="str">
        <f>VLOOKUP(Sheet1!A263,Sheet1!A263:I762,3,0)</f>
        <v>Comedy</v>
      </c>
      <c r="L263">
        <f>VLOOKUP(Sheet1!B263,Sheet1!B263:I762,3,0)</f>
        <v>179</v>
      </c>
    </row>
    <row r="264" spans="5:12" x14ac:dyDescent="0.25">
      <c r="E264" t="str">
        <f>IF(Sheet1!D264&gt;120,"Long","Short")</f>
        <v>Long</v>
      </c>
      <c r="F264" t="str">
        <f>_xlfn.CONCAT(Sheet1!A264," -",Sheet1!B264)</f>
        <v>M1262 -Movie_262</v>
      </c>
      <c r="G264" t="str">
        <f>LEFT(Sheet1!F264,3)</f>
        <v>Fre</v>
      </c>
      <c r="H264" t="str">
        <f>RIGHT(Sheet1!G264,2)</f>
        <v>95</v>
      </c>
      <c r="I264">
        <f>LEN(Sheet1!B264)</f>
        <v>9</v>
      </c>
      <c r="J264" t="str">
        <f>TRIM(Sheet1!C264)</f>
        <v>Horror</v>
      </c>
      <c r="K264" t="str">
        <f>VLOOKUP(Sheet1!A264,Sheet1!A264:I763,3,0)</f>
        <v>Horror</v>
      </c>
      <c r="L264">
        <f>VLOOKUP(Sheet1!B264,Sheet1!B264:I763,3,0)</f>
        <v>171</v>
      </c>
    </row>
    <row r="265" spans="5:12" x14ac:dyDescent="0.25">
      <c r="E265" t="str">
        <f>IF(Sheet1!D265&gt;120,"Long","Short")</f>
        <v>Long</v>
      </c>
      <c r="F265" t="str">
        <f>_xlfn.CONCAT(Sheet1!A265," -",Sheet1!B265)</f>
        <v>M1263 -Movie_263</v>
      </c>
      <c r="G265" t="str">
        <f>LEFT(Sheet1!F265,3)</f>
        <v>Eng</v>
      </c>
      <c r="H265" t="str">
        <f>RIGHT(Sheet1!G265,2)</f>
        <v>95</v>
      </c>
      <c r="I265">
        <f>LEN(Sheet1!B265)</f>
        <v>9</v>
      </c>
      <c r="J265" t="str">
        <f>TRIM(Sheet1!C265)</f>
        <v>Sci-Fi</v>
      </c>
      <c r="K265" t="str">
        <f>VLOOKUP(Sheet1!A265,Sheet1!A265:I764,3,0)</f>
        <v>Sci-Fi</v>
      </c>
      <c r="L265">
        <f>VLOOKUP(Sheet1!B265,Sheet1!B265:I764,3,0)</f>
        <v>128</v>
      </c>
    </row>
    <row r="266" spans="5:12" x14ac:dyDescent="0.25">
      <c r="E266" t="str">
        <f>IF(Sheet1!D266&gt;120,"Long","Short")</f>
        <v>Long</v>
      </c>
      <c r="F266" t="str">
        <f>_xlfn.CONCAT(Sheet1!A266," -",Sheet1!B266)</f>
        <v>M1264 -Movie_264</v>
      </c>
      <c r="G266" t="str">
        <f>LEFT(Sheet1!F266,3)</f>
        <v>Fre</v>
      </c>
      <c r="H266" t="str">
        <f>RIGHT(Sheet1!G266,2)</f>
        <v>83</v>
      </c>
      <c r="I266">
        <f>LEN(Sheet1!B266)</f>
        <v>9</v>
      </c>
      <c r="J266" t="str">
        <f>TRIM(Sheet1!C266)</f>
        <v>Sci-Fi</v>
      </c>
      <c r="K266" t="str">
        <f>VLOOKUP(Sheet1!A266,Sheet1!A266:I765,3,0)</f>
        <v>Sci-Fi</v>
      </c>
      <c r="L266">
        <f>VLOOKUP(Sheet1!B266,Sheet1!B266:I765,3,0)</f>
        <v>142</v>
      </c>
    </row>
    <row r="267" spans="5:12" x14ac:dyDescent="0.25">
      <c r="E267" t="str">
        <f>IF(Sheet1!D267&gt;120,"Long","Short")</f>
        <v>Long</v>
      </c>
      <c r="F267" t="str">
        <f>_xlfn.CONCAT(Sheet1!A267," -",Sheet1!B267)</f>
        <v>M1265 -Movie_265</v>
      </c>
      <c r="G267" t="str">
        <f>LEFT(Sheet1!F267,3)</f>
        <v>Ger</v>
      </c>
      <c r="H267" t="str">
        <f>RIGHT(Sheet1!G267,2)</f>
        <v>22</v>
      </c>
      <c r="I267">
        <f>LEN(Sheet1!B267)</f>
        <v>9</v>
      </c>
      <c r="J267" t="str">
        <f>TRIM(Sheet1!C267)</f>
        <v>Thriller</v>
      </c>
      <c r="K267" t="str">
        <f>VLOOKUP(Sheet1!A267,Sheet1!A267:I766,3,0)</f>
        <v>Thriller</v>
      </c>
      <c r="L267">
        <f>VLOOKUP(Sheet1!B267,Sheet1!B267:I766,3,0)</f>
        <v>122</v>
      </c>
    </row>
    <row r="268" spans="5:12" x14ac:dyDescent="0.25">
      <c r="E268" t="str">
        <f>IF(Sheet1!D268&gt;120,"Long","Short")</f>
        <v>Short</v>
      </c>
      <c r="F268" t="str">
        <f>_xlfn.CONCAT(Sheet1!A268," -",Sheet1!B268)</f>
        <v>M1266 -Movie_266</v>
      </c>
      <c r="G268" t="str">
        <f>LEFT(Sheet1!F268,3)</f>
        <v>Ger</v>
      </c>
      <c r="H268" t="str">
        <f>RIGHT(Sheet1!G268,2)</f>
        <v>13</v>
      </c>
      <c r="I268">
        <f>LEN(Sheet1!B268)</f>
        <v>9</v>
      </c>
      <c r="J268" t="str">
        <f>TRIM(Sheet1!C268)</f>
        <v>Comedy</v>
      </c>
      <c r="K268" t="str">
        <f>VLOOKUP(Sheet1!A268,Sheet1!A268:I767,3,0)</f>
        <v>Comedy</v>
      </c>
      <c r="L268">
        <f>VLOOKUP(Sheet1!B268,Sheet1!B268:I767,3,0)</f>
        <v>82</v>
      </c>
    </row>
    <row r="269" spans="5:12" x14ac:dyDescent="0.25">
      <c r="E269" t="str">
        <f>IF(Sheet1!D269&gt;120,"Long","Short")</f>
        <v>Long</v>
      </c>
      <c r="F269" t="str">
        <f>_xlfn.CONCAT(Sheet1!A269," -",Sheet1!B269)</f>
        <v>M1267 -Movie_267</v>
      </c>
      <c r="G269" t="str">
        <f>LEFT(Sheet1!F269,3)</f>
        <v>Jap</v>
      </c>
      <c r="H269" t="str">
        <f>RIGHT(Sheet1!G269,2)</f>
        <v>94</v>
      </c>
      <c r="I269">
        <f>LEN(Sheet1!B269)</f>
        <v>9</v>
      </c>
      <c r="J269" t="str">
        <f>TRIM(Sheet1!C269)</f>
        <v>Thriller</v>
      </c>
      <c r="K269" t="str">
        <f>VLOOKUP(Sheet1!A269,Sheet1!A269:I768,3,0)</f>
        <v>Thriller</v>
      </c>
      <c r="L269">
        <f>VLOOKUP(Sheet1!B269,Sheet1!B269:I768,3,0)</f>
        <v>131</v>
      </c>
    </row>
    <row r="270" spans="5:12" x14ac:dyDescent="0.25">
      <c r="E270" t="str">
        <f>IF(Sheet1!D270&gt;120,"Long","Short")</f>
        <v>Long</v>
      </c>
      <c r="F270" t="str">
        <f>_xlfn.CONCAT(Sheet1!A270," -",Sheet1!B270)</f>
        <v>M1268 -Movie_268</v>
      </c>
      <c r="G270" t="str">
        <f>LEFT(Sheet1!F270,3)</f>
        <v>Ger</v>
      </c>
      <c r="H270" t="str">
        <f>RIGHT(Sheet1!G270,2)</f>
        <v>20</v>
      </c>
      <c r="I270">
        <f>LEN(Sheet1!B270)</f>
        <v>9</v>
      </c>
      <c r="J270" t="str">
        <f>TRIM(Sheet1!C270)</f>
        <v>Thriller</v>
      </c>
      <c r="K270" t="str">
        <f>VLOOKUP(Sheet1!A270,Sheet1!A270:I769,3,0)</f>
        <v>Thriller</v>
      </c>
      <c r="L270">
        <f>VLOOKUP(Sheet1!B270,Sheet1!B270:I769,3,0)</f>
        <v>175</v>
      </c>
    </row>
    <row r="271" spans="5:12" x14ac:dyDescent="0.25">
      <c r="E271" t="str">
        <f>IF(Sheet1!D271&gt;120,"Long","Short")</f>
        <v>Long</v>
      </c>
      <c r="F271" t="str">
        <f>_xlfn.CONCAT(Sheet1!A271," -",Sheet1!B271)</f>
        <v>M1269 -Movie_269</v>
      </c>
      <c r="G271" t="str">
        <f>LEFT(Sheet1!F271,3)</f>
        <v>Ger</v>
      </c>
      <c r="H271" t="str">
        <f>RIGHT(Sheet1!G271,2)</f>
        <v>94</v>
      </c>
      <c r="I271">
        <f>LEN(Sheet1!B271)</f>
        <v>9</v>
      </c>
      <c r="J271" t="str">
        <f>TRIM(Sheet1!C271)</f>
        <v>Comedy</v>
      </c>
      <c r="K271" t="str">
        <f>VLOOKUP(Sheet1!A271,Sheet1!A271:I770,3,0)</f>
        <v>Comedy</v>
      </c>
      <c r="L271">
        <f>VLOOKUP(Sheet1!B271,Sheet1!B271:I770,3,0)</f>
        <v>122</v>
      </c>
    </row>
    <row r="272" spans="5:12" x14ac:dyDescent="0.25">
      <c r="E272" t="str">
        <f>IF(Sheet1!D272&gt;120,"Long","Short")</f>
        <v>Long</v>
      </c>
      <c r="F272" t="str">
        <f>_xlfn.CONCAT(Sheet1!A272," -",Sheet1!B272)</f>
        <v>M1270 -Movie_270</v>
      </c>
      <c r="G272" t="str">
        <f>LEFT(Sheet1!F272,3)</f>
        <v>Fre</v>
      </c>
      <c r="H272" t="str">
        <f>RIGHT(Sheet1!G272,2)</f>
        <v>83</v>
      </c>
      <c r="I272">
        <f>LEN(Sheet1!B272)</f>
        <v>9</v>
      </c>
      <c r="J272" t="str">
        <f>TRIM(Sheet1!C272)</f>
        <v>Action</v>
      </c>
      <c r="K272" t="str">
        <f>VLOOKUP(Sheet1!A272,Sheet1!A272:I771,3,0)</f>
        <v>Action</v>
      </c>
      <c r="L272">
        <f>VLOOKUP(Sheet1!B272,Sheet1!B272:I771,3,0)</f>
        <v>178</v>
      </c>
    </row>
    <row r="273" spans="5:12" x14ac:dyDescent="0.25">
      <c r="E273" t="str">
        <f>IF(Sheet1!D273&gt;120,"Long","Short")</f>
        <v>Long</v>
      </c>
      <c r="F273" t="str">
        <f>_xlfn.CONCAT(Sheet1!A273," -",Sheet1!B273)</f>
        <v>M1271 -Movie_271</v>
      </c>
      <c r="G273" t="str">
        <f>LEFT(Sheet1!F273,3)</f>
        <v>Spa</v>
      </c>
      <c r="H273" t="str">
        <f>RIGHT(Sheet1!G273,2)</f>
        <v>86</v>
      </c>
      <c r="I273">
        <f>LEN(Sheet1!B273)</f>
        <v>9</v>
      </c>
      <c r="J273" t="str">
        <f>TRIM(Sheet1!C273)</f>
        <v>Action</v>
      </c>
      <c r="K273" t="str">
        <f>VLOOKUP(Sheet1!A273,Sheet1!A273:I772,3,0)</f>
        <v>Action</v>
      </c>
      <c r="L273">
        <f>VLOOKUP(Sheet1!B273,Sheet1!B273:I772,3,0)</f>
        <v>157</v>
      </c>
    </row>
    <row r="274" spans="5:12" x14ac:dyDescent="0.25">
      <c r="E274" t="str">
        <f>IF(Sheet1!D274&gt;120,"Long","Short")</f>
        <v>Long</v>
      </c>
      <c r="F274" t="str">
        <f>_xlfn.CONCAT(Sheet1!A274," -",Sheet1!B274)</f>
        <v>M1272 -Movie_272</v>
      </c>
      <c r="G274" t="str">
        <f>LEFT(Sheet1!F274,3)</f>
        <v>Ger</v>
      </c>
      <c r="H274" t="str">
        <f>RIGHT(Sheet1!G274,2)</f>
        <v>06</v>
      </c>
      <c r="I274">
        <f>LEN(Sheet1!B274)</f>
        <v>9</v>
      </c>
      <c r="J274" t="str">
        <f>TRIM(Sheet1!C274)</f>
        <v>Horror</v>
      </c>
      <c r="K274" t="str">
        <f>VLOOKUP(Sheet1!A274,Sheet1!A274:I773,3,0)</f>
        <v>Horror</v>
      </c>
      <c r="L274">
        <f>VLOOKUP(Sheet1!B274,Sheet1!B274:I773,3,0)</f>
        <v>146</v>
      </c>
    </row>
    <row r="275" spans="5:12" x14ac:dyDescent="0.25">
      <c r="E275" t="str">
        <f>IF(Sheet1!D275&gt;120,"Long","Short")</f>
        <v>Short</v>
      </c>
      <c r="F275" t="str">
        <f>_xlfn.CONCAT(Sheet1!A275," -",Sheet1!B275)</f>
        <v>M1273 -Movie_273</v>
      </c>
      <c r="G275" t="str">
        <f>LEFT(Sheet1!F275,3)</f>
        <v>Jap</v>
      </c>
      <c r="H275" t="str">
        <f>RIGHT(Sheet1!G275,2)</f>
        <v>01</v>
      </c>
      <c r="I275">
        <f>LEN(Sheet1!B275)</f>
        <v>9</v>
      </c>
      <c r="J275" t="str">
        <f>TRIM(Sheet1!C275)</f>
        <v>Thriller</v>
      </c>
      <c r="K275" t="str">
        <f>VLOOKUP(Sheet1!A275,Sheet1!A275:I774,3,0)</f>
        <v>Thriller</v>
      </c>
      <c r="L275">
        <f>VLOOKUP(Sheet1!B275,Sheet1!B275:I774,3,0)</f>
        <v>67</v>
      </c>
    </row>
    <row r="276" spans="5:12" x14ac:dyDescent="0.25">
      <c r="E276" t="str">
        <f>IF(Sheet1!D276&gt;120,"Long","Short")</f>
        <v>Long</v>
      </c>
      <c r="F276" t="str">
        <f>_xlfn.CONCAT(Sheet1!A276," -",Sheet1!B276)</f>
        <v>M1274 -Movie_274</v>
      </c>
      <c r="G276" t="str">
        <f>LEFT(Sheet1!F276,3)</f>
        <v>Ger</v>
      </c>
      <c r="H276" t="str">
        <f>RIGHT(Sheet1!G276,2)</f>
        <v>25</v>
      </c>
      <c r="I276">
        <f>LEN(Sheet1!B276)</f>
        <v>9</v>
      </c>
      <c r="J276" t="str">
        <f>TRIM(Sheet1!C276)</f>
        <v>Drama</v>
      </c>
      <c r="K276" t="str">
        <f>VLOOKUP(Sheet1!A276,Sheet1!A276:I775,3,0)</f>
        <v>Drama</v>
      </c>
      <c r="L276">
        <f>VLOOKUP(Sheet1!B276,Sheet1!B276:I775,3,0)</f>
        <v>186</v>
      </c>
    </row>
    <row r="277" spans="5:12" x14ac:dyDescent="0.25">
      <c r="E277" t="str">
        <f>IF(Sheet1!D277&gt;120,"Long","Short")</f>
        <v>Long</v>
      </c>
      <c r="F277" t="str">
        <f>_xlfn.CONCAT(Sheet1!A277," -",Sheet1!B277)</f>
        <v>M1275 -Movie_275</v>
      </c>
      <c r="G277" t="str">
        <f>LEFT(Sheet1!F277,3)</f>
        <v>Fre</v>
      </c>
      <c r="H277" t="str">
        <f>RIGHT(Sheet1!G277,2)</f>
        <v>10</v>
      </c>
      <c r="I277">
        <f>LEN(Sheet1!B277)</f>
        <v>9</v>
      </c>
      <c r="J277" t="str">
        <f>TRIM(Sheet1!C277)</f>
        <v>Thriller</v>
      </c>
      <c r="K277" t="str">
        <f>VLOOKUP(Sheet1!A277,Sheet1!A277:I776,3,0)</f>
        <v>Thriller</v>
      </c>
      <c r="L277">
        <f>VLOOKUP(Sheet1!B277,Sheet1!B277:I776,3,0)</f>
        <v>143</v>
      </c>
    </row>
    <row r="278" spans="5:12" x14ac:dyDescent="0.25">
      <c r="E278" t="str">
        <f>IF(Sheet1!D278&gt;120,"Long","Short")</f>
        <v>Short</v>
      </c>
      <c r="F278" t="str">
        <f>_xlfn.CONCAT(Sheet1!A278," -",Sheet1!B278)</f>
        <v>M1276 -Movie_276</v>
      </c>
      <c r="G278" t="str">
        <f>LEFT(Sheet1!F278,3)</f>
        <v>Hin</v>
      </c>
      <c r="H278" t="str">
        <f>RIGHT(Sheet1!G278,2)</f>
        <v>86</v>
      </c>
      <c r="I278">
        <f>LEN(Sheet1!B278)</f>
        <v>9</v>
      </c>
      <c r="J278" t="str">
        <f>TRIM(Sheet1!C278)</f>
        <v>Thriller</v>
      </c>
      <c r="K278" t="str">
        <f>VLOOKUP(Sheet1!A278,Sheet1!A278:I777,3,0)</f>
        <v>Thriller</v>
      </c>
      <c r="L278">
        <f>VLOOKUP(Sheet1!B278,Sheet1!B278:I777,3,0)</f>
        <v>106</v>
      </c>
    </row>
    <row r="279" spans="5:12" x14ac:dyDescent="0.25">
      <c r="E279" t="str">
        <f>IF(Sheet1!D279&gt;120,"Long","Short")</f>
        <v>Long</v>
      </c>
      <c r="F279" t="str">
        <f>_xlfn.CONCAT(Sheet1!A279," -",Sheet1!B279)</f>
        <v>M1277 -Movie_277</v>
      </c>
      <c r="G279" t="str">
        <f>LEFT(Sheet1!F279,3)</f>
        <v>Fre</v>
      </c>
      <c r="H279" t="str">
        <f>RIGHT(Sheet1!G279,2)</f>
        <v>23</v>
      </c>
      <c r="I279">
        <f>LEN(Sheet1!B279)</f>
        <v>9</v>
      </c>
      <c r="J279" t="str">
        <f>TRIM(Sheet1!C279)</f>
        <v>Thriller</v>
      </c>
      <c r="K279" t="str">
        <f>VLOOKUP(Sheet1!A279,Sheet1!A279:I778,3,0)</f>
        <v>Thriller</v>
      </c>
      <c r="L279">
        <f>VLOOKUP(Sheet1!B279,Sheet1!B279:I778,3,0)</f>
        <v>184</v>
      </c>
    </row>
    <row r="280" spans="5:12" x14ac:dyDescent="0.25">
      <c r="E280" t="str">
        <f>IF(Sheet1!D280&gt;120,"Long","Short")</f>
        <v>Short</v>
      </c>
      <c r="F280" t="str">
        <f>_xlfn.CONCAT(Sheet1!A280," -",Sheet1!B280)</f>
        <v>M1278 -Movie_278</v>
      </c>
      <c r="G280" t="str">
        <f>LEFT(Sheet1!F280,3)</f>
        <v>Eng</v>
      </c>
      <c r="H280" t="str">
        <f>RIGHT(Sheet1!G280,2)</f>
        <v>88</v>
      </c>
      <c r="I280">
        <f>LEN(Sheet1!B280)</f>
        <v>9</v>
      </c>
      <c r="J280" t="str">
        <f>TRIM(Sheet1!C280)</f>
        <v>Horror</v>
      </c>
      <c r="K280" t="str">
        <f>VLOOKUP(Sheet1!A280,Sheet1!A280:I779,3,0)</f>
        <v>Horror</v>
      </c>
      <c r="L280">
        <f>VLOOKUP(Sheet1!B280,Sheet1!B280:I779,3,0)</f>
        <v>114</v>
      </c>
    </row>
    <row r="281" spans="5:12" x14ac:dyDescent="0.25">
      <c r="E281" t="str">
        <f>IF(Sheet1!D281&gt;120,"Long","Short")</f>
        <v>Long</v>
      </c>
      <c r="F281" t="str">
        <f>_xlfn.CONCAT(Sheet1!A281," -",Sheet1!B281)</f>
        <v>M1279 -Movie_279</v>
      </c>
      <c r="G281" t="str">
        <f>LEFT(Sheet1!F281,3)</f>
        <v>Jap</v>
      </c>
      <c r="H281" t="str">
        <f>RIGHT(Sheet1!G281,2)</f>
        <v>80</v>
      </c>
      <c r="I281">
        <f>LEN(Sheet1!B281)</f>
        <v>9</v>
      </c>
      <c r="J281" t="str">
        <f>TRIM(Sheet1!C281)</f>
        <v>Action</v>
      </c>
      <c r="K281" t="str">
        <f>VLOOKUP(Sheet1!A281,Sheet1!A281:I780,3,0)</f>
        <v>Action</v>
      </c>
      <c r="L281">
        <f>VLOOKUP(Sheet1!B281,Sheet1!B281:I780,3,0)</f>
        <v>150</v>
      </c>
    </row>
    <row r="282" spans="5:12" x14ac:dyDescent="0.25">
      <c r="E282" t="str">
        <f>IF(Sheet1!D282&gt;120,"Long","Short")</f>
        <v>Long</v>
      </c>
      <c r="F282" t="str">
        <f>_xlfn.CONCAT(Sheet1!A282," -",Sheet1!B282)</f>
        <v>M1280 -Movie_280</v>
      </c>
      <c r="G282" t="str">
        <f>LEFT(Sheet1!F282,3)</f>
        <v>Ger</v>
      </c>
      <c r="H282" t="str">
        <f>RIGHT(Sheet1!G282,2)</f>
        <v>15</v>
      </c>
      <c r="I282">
        <f>LEN(Sheet1!B282)</f>
        <v>9</v>
      </c>
      <c r="J282" t="str">
        <f>TRIM(Sheet1!C282)</f>
        <v>Horror</v>
      </c>
      <c r="K282" t="str">
        <f>VLOOKUP(Sheet1!A282,Sheet1!A282:I781,3,0)</f>
        <v>Horror</v>
      </c>
      <c r="L282">
        <f>VLOOKUP(Sheet1!B282,Sheet1!B282:I781,3,0)</f>
        <v>126</v>
      </c>
    </row>
    <row r="283" spans="5:12" x14ac:dyDescent="0.25">
      <c r="E283" t="str">
        <f>IF(Sheet1!D283&gt;120,"Long","Short")</f>
        <v>Long</v>
      </c>
      <c r="F283" t="str">
        <f>_xlfn.CONCAT(Sheet1!A283," -",Sheet1!B283)</f>
        <v>M1281 -Movie_281</v>
      </c>
      <c r="G283" t="str">
        <f>LEFT(Sheet1!F283,3)</f>
        <v>Eng</v>
      </c>
      <c r="H283" t="str">
        <f>RIGHT(Sheet1!G283,2)</f>
        <v>90</v>
      </c>
      <c r="I283">
        <f>LEN(Sheet1!B283)</f>
        <v>9</v>
      </c>
      <c r="J283" t="str">
        <f>TRIM(Sheet1!C283)</f>
        <v>Horror</v>
      </c>
      <c r="K283" t="str">
        <f>VLOOKUP(Sheet1!A283,Sheet1!A283:I782,3,0)</f>
        <v>Horror</v>
      </c>
      <c r="L283">
        <f>VLOOKUP(Sheet1!B283,Sheet1!B283:I782,3,0)</f>
        <v>147</v>
      </c>
    </row>
    <row r="284" spans="5:12" x14ac:dyDescent="0.25">
      <c r="E284" t="str">
        <f>IF(Sheet1!D284&gt;120,"Long","Short")</f>
        <v>Long</v>
      </c>
      <c r="F284" t="str">
        <f>_xlfn.CONCAT(Sheet1!A284," -",Sheet1!B284)</f>
        <v>M1282 -Movie_282</v>
      </c>
      <c r="G284" t="str">
        <f>LEFT(Sheet1!F284,3)</f>
        <v>Ger</v>
      </c>
      <c r="H284" t="str">
        <f>RIGHT(Sheet1!G284,2)</f>
        <v>06</v>
      </c>
      <c r="I284">
        <f>LEN(Sheet1!B284)</f>
        <v>9</v>
      </c>
      <c r="J284" t="str">
        <f>TRIM(Sheet1!C284)</f>
        <v>Horror</v>
      </c>
      <c r="K284" t="str">
        <f>VLOOKUP(Sheet1!A284,Sheet1!A284:I783,3,0)</f>
        <v>Horror</v>
      </c>
      <c r="L284">
        <f>VLOOKUP(Sheet1!B284,Sheet1!B284:I783,3,0)</f>
        <v>131</v>
      </c>
    </row>
    <row r="285" spans="5:12" x14ac:dyDescent="0.25">
      <c r="E285" t="str">
        <f>IF(Sheet1!D285&gt;120,"Long","Short")</f>
        <v>Long</v>
      </c>
      <c r="F285" t="str">
        <f>_xlfn.CONCAT(Sheet1!A285," -",Sheet1!B285)</f>
        <v>M1283 -Movie_283</v>
      </c>
      <c r="G285" t="str">
        <f>LEFT(Sheet1!F285,3)</f>
        <v>Hin</v>
      </c>
      <c r="H285" t="str">
        <f>RIGHT(Sheet1!G285,2)</f>
        <v>21</v>
      </c>
      <c r="I285">
        <f>LEN(Sheet1!B285)</f>
        <v>9</v>
      </c>
      <c r="J285" t="str">
        <f>TRIM(Sheet1!C285)</f>
        <v>Action</v>
      </c>
      <c r="K285" t="str">
        <f>VLOOKUP(Sheet1!A285,Sheet1!A285:I784,3,0)</f>
        <v>Action</v>
      </c>
      <c r="L285">
        <f>VLOOKUP(Sheet1!B285,Sheet1!B285:I784,3,0)</f>
        <v>130</v>
      </c>
    </row>
    <row r="286" spans="5:12" x14ac:dyDescent="0.25">
      <c r="E286" t="str">
        <f>IF(Sheet1!D286&gt;120,"Long","Short")</f>
        <v>Short</v>
      </c>
      <c r="F286" t="str">
        <f>_xlfn.CONCAT(Sheet1!A286," -",Sheet1!B286)</f>
        <v>M1284 -Movie_284</v>
      </c>
      <c r="G286" t="str">
        <f>LEFT(Sheet1!F286,3)</f>
        <v>Spa</v>
      </c>
      <c r="H286" t="str">
        <f>RIGHT(Sheet1!G286,2)</f>
        <v>10</v>
      </c>
      <c r="I286">
        <f>LEN(Sheet1!B286)</f>
        <v>9</v>
      </c>
      <c r="J286" t="str">
        <f>TRIM(Sheet1!C286)</f>
        <v>Action</v>
      </c>
      <c r="K286" t="str">
        <f>VLOOKUP(Sheet1!A286,Sheet1!A286:I785,3,0)</f>
        <v>Action</v>
      </c>
      <c r="L286">
        <f>VLOOKUP(Sheet1!B286,Sheet1!B286:I785,3,0)</f>
        <v>62</v>
      </c>
    </row>
    <row r="287" spans="5:12" x14ac:dyDescent="0.25">
      <c r="E287" t="str">
        <f>IF(Sheet1!D287&gt;120,"Long","Short")</f>
        <v>Long</v>
      </c>
      <c r="F287" t="str">
        <f>_xlfn.CONCAT(Sheet1!A287," -",Sheet1!B287)</f>
        <v>M1285 -Movie_285</v>
      </c>
      <c r="G287" t="str">
        <f>LEFT(Sheet1!F287,3)</f>
        <v>Hin</v>
      </c>
      <c r="H287" t="str">
        <f>RIGHT(Sheet1!G287,2)</f>
        <v>10</v>
      </c>
      <c r="I287">
        <f>LEN(Sheet1!B287)</f>
        <v>9</v>
      </c>
      <c r="J287" t="str">
        <f>TRIM(Sheet1!C287)</f>
        <v>Thriller</v>
      </c>
      <c r="K287" t="str">
        <f>VLOOKUP(Sheet1!A287,Sheet1!A287:I786,3,0)</f>
        <v>Thriller</v>
      </c>
      <c r="L287">
        <f>VLOOKUP(Sheet1!B287,Sheet1!B287:I786,3,0)</f>
        <v>192</v>
      </c>
    </row>
    <row r="288" spans="5:12" x14ac:dyDescent="0.25">
      <c r="E288" t="str">
        <f>IF(Sheet1!D288&gt;120,"Long","Short")</f>
        <v>Short</v>
      </c>
      <c r="F288" t="str">
        <f>_xlfn.CONCAT(Sheet1!A288," -",Sheet1!B288)</f>
        <v>M1286 -Movie_286</v>
      </c>
      <c r="G288" t="str">
        <f>LEFT(Sheet1!F288,3)</f>
        <v>Fre</v>
      </c>
      <c r="H288" t="str">
        <f>RIGHT(Sheet1!G288,2)</f>
        <v>21</v>
      </c>
      <c r="I288">
        <f>LEN(Sheet1!B288)</f>
        <v>9</v>
      </c>
      <c r="J288" t="str">
        <f>TRIM(Sheet1!C288)</f>
        <v>Horror</v>
      </c>
      <c r="K288" t="str">
        <f>VLOOKUP(Sheet1!A288,Sheet1!A288:I787,3,0)</f>
        <v>Horror</v>
      </c>
      <c r="L288">
        <f>VLOOKUP(Sheet1!B288,Sheet1!B288:I787,3,0)</f>
        <v>108</v>
      </c>
    </row>
    <row r="289" spans="5:12" x14ac:dyDescent="0.25">
      <c r="E289" t="str">
        <f>IF(Sheet1!D289&gt;120,"Long","Short")</f>
        <v>Short</v>
      </c>
      <c r="F289" t="str">
        <f>_xlfn.CONCAT(Sheet1!A289," -",Sheet1!B289)</f>
        <v>M1287 -Movie_287</v>
      </c>
      <c r="G289" t="str">
        <f>LEFT(Sheet1!F289,3)</f>
        <v>Fre</v>
      </c>
      <c r="H289" t="str">
        <f>RIGHT(Sheet1!G289,2)</f>
        <v>92</v>
      </c>
      <c r="I289">
        <f>LEN(Sheet1!B289)</f>
        <v>9</v>
      </c>
      <c r="J289" t="str">
        <f>TRIM(Sheet1!C289)</f>
        <v>Drama</v>
      </c>
      <c r="K289" t="str">
        <f>VLOOKUP(Sheet1!A289,Sheet1!A289:I788,3,0)</f>
        <v>Drama</v>
      </c>
      <c r="L289">
        <f>VLOOKUP(Sheet1!B289,Sheet1!B289:I788,3,0)</f>
        <v>81</v>
      </c>
    </row>
    <row r="290" spans="5:12" x14ac:dyDescent="0.25">
      <c r="E290" t="str">
        <f>IF(Sheet1!D290&gt;120,"Long","Short")</f>
        <v>Long</v>
      </c>
      <c r="F290" t="str">
        <f>_xlfn.CONCAT(Sheet1!A290," -",Sheet1!B290)</f>
        <v>M1288 -Movie_288</v>
      </c>
      <c r="G290" t="str">
        <f>LEFT(Sheet1!F290,3)</f>
        <v>Eng</v>
      </c>
      <c r="H290" t="str">
        <f>RIGHT(Sheet1!G290,2)</f>
        <v>98</v>
      </c>
      <c r="I290">
        <f>LEN(Sheet1!B290)</f>
        <v>9</v>
      </c>
      <c r="J290" t="str">
        <f>TRIM(Sheet1!C290)</f>
        <v>Action</v>
      </c>
      <c r="K290" t="str">
        <f>VLOOKUP(Sheet1!A290,Sheet1!A290:I789,3,0)</f>
        <v>Action</v>
      </c>
      <c r="L290">
        <f>VLOOKUP(Sheet1!B290,Sheet1!B290:I789,3,0)</f>
        <v>121</v>
      </c>
    </row>
    <row r="291" spans="5:12" x14ac:dyDescent="0.25">
      <c r="E291" t="str">
        <f>IF(Sheet1!D291&gt;120,"Long","Short")</f>
        <v>Long</v>
      </c>
      <c r="F291" t="str">
        <f>_xlfn.CONCAT(Sheet1!A291," -",Sheet1!B291)</f>
        <v>M1289 -Movie_289</v>
      </c>
      <c r="G291" t="str">
        <f>LEFT(Sheet1!F291,3)</f>
        <v>Eng</v>
      </c>
      <c r="H291" t="str">
        <f>RIGHT(Sheet1!G291,2)</f>
        <v>00</v>
      </c>
      <c r="I291">
        <f>LEN(Sheet1!B291)</f>
        <v>9</v>
      </c>
      <c r="J291" t="str">
        <f>TRIM(Sheet1!C291)</f>
        <v>Comedy</v>
      </c>
      <c r="K291" t="str">
        <f>VLOOKUP(Sheet1!A291,Sheet1!A291:I790,3,0)</f>
        <v>Comedy</v>
      </c>
      <c r="L291">
        <f>VLOOKUP(Sheet1!B291,Sheet1!B291:I790,3,0)</f>
        <v>164</v>
      </c>
    </row>
    <row r="292" spans="5:12" x14ac:dyDescent="0.25">
      <c r="E292" t="str">
        <f>IF(Sheet1!D292&gt;120,"Long","Short")</f>
        <v>Long</v>
      </c>
      <c r="F292" t="str">
        <f>_xlfn.CONCAT(Sheet1!A292," -",Sheet1!B292)</f>
        <v>M1290 -Movie_290</v>
      </c>
      <c r="G292" t="str">
        <f>LEFT(Sheet1!F292,3)</f>
        <v>Fre</v>
      </c>
      <c r="H292" t="str">
        <f>RIGHT(Sheet1!G292,2)</f>
        <v>98</v>
      </c>
      <c r="I292">
        <f>LEN(Sheet1!B292)</f>
        <v>9</v>
      </c>
      <c r="J292" t="str">
        <f>TRIM(Sheet1!C292)</f>
        <v>Comedy</v>
      </c>
      <c r="K292" t="str">
        <f>VLOOKUP(Sheet1!A292,Sheet1!A292:I791,3,0)</f>
        <v>Comedy</v>
      </c>
      <c r="L292">
        <f>VLOOKUP(Sheet1!B292,Sheet1!B292:I791,3,0)</f>
        <v>185</v>
      </c>
    </row>
    <row r="293" spans="5:12" x14ac:dyDescent="0.25">
      <c r="E293" t="str">
        <f>IF(Sheet1!D293&gt;120,"Long","Short")</f>
        <v>Long</v>
      </c>
      <c r="F293" t="str">
        <f>_xlfn.CONCAT(Sheet1!A293," -",Sheet1!B293)</f>
        <v>M1291 -Movie_291</v>
      </c>
      <c r="G293" t="str">
        <f>LEFT(Sheet1!F293,3)</f>
        <v>Jap</v>
      </c>
      <c r="H293" t="str">
        <f>RIGHT(Sheet1!G293,2)</f>
        <v>21</v>
      </c>
      <c r="I293">
        <f>LEN(Sheet1!B293)</f>
        <v>9</v>
      </c>
      <c r="J293" t="str">
        <f>TRIM(Sheet1!C293)</f>
        <v>Comedy</v>
      </c>
      <c r="K293" t="str">
        <f>VLOOKUP(Sheet1!A293,Sheet1!A293:I792,3,0)</f>
        <v>Comedy</v>
      </c>
      <c r="L293">
        <f>VLOOKUP(Sheet1!B293,Sheet1!B293:I792,3,0)</f>
        <v>121</v>
      </c>
    </row>
    <row r="294" spans="5:12" x14ac:dyDescent="0.25">
      <c r="E294" t="str">
        <f>IF(Sheet1!D294&gt;120,"Long","Short")</f>
        <v>Long</v>
      </c>
      <c r="F294" t="str">
        <f>_xlfn.CONCAT(Sheet1!A294," -",Sheet1!B294)</f>
        <v>M1292 -Movie_292</v>
      </c>
      <c r="G294" t="str">
        <f>LEFT(Sheet1!F294,3)</f>
        <v>Fre</v>
      </c>
      <c r="H294" t="str">
        <f>RIGHT(Sheet1!G294,2)</f>
        <v>83</v>
      </c>
      <c r="I294">
        <f>LEN(Sheet1!B294)</f>
        <v>9</v>
      </c>
      <c r="J294" t="str">
        <f>TRIM(Sheet1!C294)</f>
        <v>Sci-Fi</v>
      </c>
      <c r="K294" t="str">
        <f>VLOOKUP(Sheet1!A294,Sheet1!A294:I793,3,0)</f>
        <v>Sci-Fi</v>
      </c>
      <c r="L294">
        <f>VLOOKUP(Sheet1!B294,Sheet1!B294:I793,3,0)</f>
        <v>181</v>
      </c>
    </row>
    <row r="295" spans="5:12" x14ac:dyDescent="0.25">
      <c r="E295" t="str">
        <f>IF(Sheet1!D295&gt;120,"Long","Short")</f>
        <v>Long</v>
      </c>
      <c r="F295" t="str">
        <f>_xlfn.CONCAT(Sheet1!A295," -",Sheet1!B295)</f>
        <v>M1293 -Movie_293</v>
      </c>
      <c r="G295" t="str">
        <f>LEFT(Sheet1!F295,3)</f>
        <v>Fre</v>
      </c>
      <c r="H295" t="str">
        <f>RIGHT(Sheet1!G295,2)</f>
        <v>85</v>
      </c>
      <c r="I295">
        <f>LEN(Sheet1!B295)</f>
        <v>9</v>
      </c>
      <c r="J295" t="str">
        <f>TRIM(Sheet1!C295)</f>
        <v>Thriller</v>
      </c>
      <c r="K295" t="str">
        <f>VLOOKUP(Sheet1!A295,Sheet1!A295:I794,3,0)</f>
        <v>Thriller</v>
      </c>
      <c r="L295">
        <f>VLOOKUP(Sheet1!B295,Sheet1!B295:I794,3,0)</f>
        <v>185</v>
      </c>
    </row>
    <row r="296" spans="5:12" x14ac:dyDescent="0.25">
      <c r="E296" t="str">
        <f>IF(Sheet1!D296&gt;120,"Long","Short")</f>
        <v>Long</v>
      </c>
      <c r="F296" t="str">
        <f>_xlfn.CONCAT(Sheet1!A296," -",Sheet1!B296)</f>
        <v>M1294 -Movie_294</v>
      </c>
      <c r="G296" t="str">
        <f>LEFT(Sheet1!F296,3)</f>
        <v>Ger</v>
      </c>
      <c r="H296" t="str">
        <f>RIGHT(Sheet1!G296,2)</f>
        <v>21</v>
      </c>
      <c r="I296">
        <f>LEN(Sheet1!B296)</f>
        <v>9</v>
      </c>
      <c r="J296" t="str">
        <f>TRIM(Sheet1!C296)</f>
        <v>Comedy</v>
      </c>
      <c r="K296" t="str">
        <f>VLOOKUP(Sheet1!A296,Sheet1!A296:I795,3,0)</f>
        <v>Comedy</v>
      </c>
      <c r="L296">
        <f>VLOOKUP(Sheet1!B296,Sheet1!B296:I795,3,0)</f>
        <v>174</v>
      </c>
    </row>
    <row r="297" spans="5:12" x14ac:dyDescent="0.25">
      <c r="E297" t="str">
        <f>IF(Sheet1!D297&gt;120,"Long","Short")</f>
        <v>Short</v>
      </c>
      <c r="F297" t="str">
        <f>_xlfn.CONCAT(Sheet1!A297," -",Sheet1!B297)</f>
        <v>M1295 -Movie_295</v>
      </c>
      <c r="G297" t="str">
        <f>LEFT(Sheet1!F297,3)</f>
        <v>Hin</v>
      </c>
      <c r="H297" t="str">
        <f>RIGHT(Sheet1!G297,2)</f>
        <v>16</v>
      </c>
      <c r="I297">
        <f>LEN(Sheet1!B297)</f>
        <v>9</v>
      </c>
      <c r="J297" t="str">
        <f>TRIM(Sheet1!C297)</f>
        <v>Thriller</v>
      </c>
      <c r="K297" t="str">
        <f>VLOOKUP(Sheet1!A297,Sheet1!A297:I796,3,0)</f>
        <v>Thriller</v>
      </c>
      <c r="L297">
        <f>VLOOKUP(Sheet1!B297,Sheet1!B297:I796,3,0)</f>
        <v>64</v>
      </c>
    </row>
    <row r="298" spans="5:12" x14ac:dyDescent="0.25">
      <c r="E298" t="str">
        <f>IF(Sheet1!D298&gt;120,"Long","Short")</f>
        <v>Short</v>
      </c>
      <c r="F298" t="str">
        <f>_xlfn.CONCAT(Sheet1!A298," -",Sheet1!B298)</f>
        <v>M1296 -Movie_296</v>
      </c>
      <c r="G298" t="str">
        <f>LEFT(Sheet1!F298,3)</f>
        <v>Jap</v>
      </c>
      <c r="H298" t="str">
        <f>RIGHT(Sheet1!G298,2)</f>
        <v>94</v>
      </c>
      <c r="I298">
        <f>LEN(Sheet1!B298)</f>
        <v>9</v>
      </c>
      <c r="J298" t="str">
        <f>TRIM(Sheet1!C298)</f>
        <v>Comedy</v>
      </c>
      <c r="K298" t="str">
        <f>VLOOKUP(Sheet1!A298,Sheet1!A298:I797,3,0)</f>
        <v>Comedy</v>
      </c>
      <c r="L298">
        <f>VLOOKUP(Sheet1!B298,Sheet1!B298:I797,3,0)</f>
        <v>83</v>
      </c>
    </row>
    <row r="299" spans="5:12" x14ac:dyDescent="0.25">
      <c r="E299" t="str">
        <f>IF(Sheet1!D299&gt;120,"Long","Short")</f>
        <v>Long</v>
      </c>
      <c r="F299" t="str">
        <f>_xlfn.CONCAT(Sheet1!A299," -",Sheet1!B299)</f>
        <v>M1297 -Movie_297</v>
      </c>
      <c r="G299" t="str">
        <f>LEFT(Sheet1!F299,3)</f>
        <v>Ger</v>
      </c>
      <c r="H299" t="str">
        <f>RIGHT(Sheet1!G299,2)</f>
        <v>14</v>
      </c>
      <c r="I299">
        <f>LEN(Sheet1!B299)</f>
        <v>9</v>
      </c>
      <c r="J299" t="str">
        <f>TRIM(Sheet1!C299)</f>
        <v>Drama</v>
      </c>
      <c r="K299" t="str">
        <f>VLOOKUP(Sheet1!A299,Sheet1!A299:I798,3,0)</f>
        <v>Drama</v>
      </c>
      <c r="L299">
        <f>VLOOKUP(Sheet1!B299,Sheet1!B299:I798,3,0)</f>
        <v>135</v>
      </c>
    </row>
    <row r="300" spans="5:12" x14ac:dyDescent="0.25">
      <c r="E300" t="str">
        <f>IF(Sheet1!D300&gt;120,"Long","Short")</f>
        <v>Short</v>
      </c>
      <c r="F300" t="str">
        <f>_xlfn.CONCAT(Sheet1!A300," -",Sheet1!B300)</f>
        <v>M1298 -Movie_298</v>
      </c>
      <c r="G300" t="str">
        <f>LEFT(Sheet1!F300,3)</f>
        <v>Spa</v>
      </c>
      <c r="H300" t="str">
        <f>RIGHT(Sheet1!G300,2)</f>
        <v>82</v>
      </c>
      <c r="I300">
        <f>LEN(Sheet1!B300)</f>
        <v>9</v>
      </c>
      <c r="J300" t="str">
        <f>TRIM(Sheet1!C300)</f>
        <v>Thriller</v>
      </c>
      <c r="K300" t="str">
        <f>VLOOKUP(Sheet1!A300,Sheet1!A300:I799,3,0)</f>
        <v>Thriller</v>
      </c>
      <c r="L300">
        <f>VLOOKUP(Sheet1!B300,Sheet1!B300:I799,3,0)</f>
        <v>116</v>
      </c>
    </row>
    <row r="301" spans="5:12" x14ac:dyDescent="0.25">
      <c r="E301" t="str">
        <f>IF(Sheet1!D301&gt;120,"Long","Short")</f>
        <v>Long</v>
      </c>
      <c r="F301" t="str">
        <f>_xlfn.CONCAT(Sheet1!A301," -",Sheet1!B301)</f>
        <v>M1299 -Movie_299</v>
      </c>
      <c r="G301" t="str">
        <f>LEFT(Sheet1!F301,3)</f>
        <v>Jap</v>
      </c>
      <c r="H301" t="str">
        <f>RIGHT(Sheet1!G301,2)</f>
        <v>91</v>
      </c>
      <c r="I301">
        <f>LEN(Sheet1!B301)</f>
        <v>9</v>
      </c>
      <c r="J301" t="str">
        <f>TRIM(Sheet1!C301)</f>
        <v>Comedy</v>
      </c>
      <c r="K301" t="str">
        <f>VLOOKUP(Sheet1!A301,Sheet1!A301:I800,3,0)</f>
        <v>Comedy</v>
      </c>
      <c r="L301">
        <f>VLOOKUP(Sheet1!B301,Sheet1!B301:I800,3,0)</f>
        <v>163</v>
      </c>
    </row>
    <row r="302" spans="5:12" x14ac:dyDescent="0.25">
      <c r="E302" t="str">
        <f>IF(Sheet1!D302&gt;120,"Long","Short")</f>
        <v>Long</v>
      </c>
      <c r="F302" t="str">
        <f>_xlfn.CONCAT(Sheet1!A302," -",Sheet1!B302)</f>
        <v>M1300 -Movie_300</v>
      </c>
      <c r="G302" t="str">
        <f>LEFT(Sheet1!F302,3)</f>
        <v>Ger</v>
      </c>
      <c r="H302" t="str">
        <f>RIGHT(Sheet1!G302,2)</f>
        <v>06</v>
      </c>
      <c r="I302">
        <f>LEN(Sheet1!B302)</f>
        <v>9</v>
      </c>
      <c r="J302" t="str">
        <f>TRIM(Sheet1!C302)</f>
        <v>Action</v>
      </c>
      <c r="K302" t="str">
        <f>VLOOKUP(Sheet1!A302,Sheet1!A302:I801,3,0)</f>
        <v>Action</v>
      </c>
      <c r="L302">
        <f>VLOOKUP(Sheet1!B302,Sheet1!B302:I801,3,0)</f>
        <v>122</v>
      </c>
    </row>
    <row r="303" spans="5:12" x14ac:dyDescent="0.25">
      <c r="E303" t="str">
        <f>IF(Sheet1!D303&gt;120,"Long","Short")</f>
        <v>Long</v>
      </c>
      <c r="F303" t="str">
        <f>_xlfn.CONCAT(Sheet1!A303," -",Sheet1!B303)</f>
        <v>M1301 -Movie_301</v>
      </c>
      <c r="G303" t="str">
        <f>LEFT(Sheet1!F303,3)</f>
        <v>Fre</v>
      </c>
      <c r="H303" t="str">
        <f>RIGHT(Sheet1!G303,2)</f>
        <v>91</v>
      </c>
      <c r="I303">
        <f>LEN(Sheet1!B303)</f>
        <v>9</v>
      </c>
      <c r="J303" t="str">
        <f>TRIM(Sheet1!C303)</f>
        <v>Thriller</v>
      </c>
      <c r="K303" t="str">
        <f>VLOOKUP(Sheet1!A303,Sheet1!A303:I802,3,0)</f>
        <v>Thriller</v>
      </c>
      <c r="L303">
        <f>VLOOKUP(Sheet1!B303,Sheet1!B303:I802,3,0)</f>
        <v>138</v>
      </c>
    </row>
    <row r="304" spans="5:12" x14ac:dyDescent="0.25">
      <c r="E304" t="str">
        <f>IF(Sheet1!D304&gt;120,"Long","Short")</f>
        <v>Long</v>
      </c>
      <c r="F304" t="str">
        <f>_xlfn.CONCAT(Sheet1!A304," -",Sheet1!B304)</f>
        <v>M1302 -Movie_302</v>
      </c>
      <c r="G304" t="str">
        <f>LEFT(Sheet1!F304,3)</f>
        <v>Ger</v>
      </c>
      <c r="H304" t="str">
        <f>RIGHT(Sheet1!G304,2)</f>
        <v>82</v>
      </c>
      <c r="I304">
        <f>LEN(Sheet1!B304)</f>
        <v>9</v>
      </c>
      <c r="J304" t="str">
        <f>TRIM(Sheet1!C304)</f>
        <v>Sci-Fi</v>
      </c>
      <c r="K304" t="str">
        <f>VLOOKUP(Sheet1!A304,Sheet1!A304:I803,3,0)</f>
        <v>Sci-Fi</v>
      </c>
      <c r="L304">
        <f>VLOOKUP(Sheet1!B304,Sheet1!B304:I803,3,0)</f>
        <v>154</v>
      </c>
    </row>
    <row r="305" spans="5:12" x14ac:dyDescent="0.25">
      <c r="E305" t="str">
        <f>IF(Sheet1!D305&gt;120,"Long","Short")</f>
        <v>Long</v>
      </c>
      <c r="F305" t="str">
        <f>_xlfn.CONCAT(Sheet1!A305," -",Sheet1!B305)</f>
        <v>M1303 -Movie_303</v>
      </c>
      <c r="G305" t="str">
        <f>LEFT(Sheet1!F305,3)</f>
        <v>Eng</v>
      </c>
      <c r="H305" t="str">
        <f>RIGHT(Sheet1!G305,2)</f>
        <v>05</v>
      </c>
      <c r="I305">
        <f>LEN(Sheet1!B305)</f>
        <v>9</v>
      </c>
      <c r="J305" t="str">
        <f>TRIM(Sheet1!C305)</f>
        <v>Action</v>
      </c>
      <c r="K305" t="str">
        <f>VLOOKUP(Sheet1!A305,Sheet1!A305:I804,3,0)</f>
        <v>Action</v>
      </c>
      <c r="L305">
        <f>VLOOKUP(Sheet1!B305,Sheet1!B305:I804,3,0)</f>
        <v>181</v>
      </c>
    </row>
    <row r="306" spans="5:12" x14ac:dyDescent="0.25">
      <c r="E306" t="str">
        <f>IF(Sheet1!D306&gt;120,"Long","Short")</f>
        <v>Long</v>
      </c>
      <c r="F306" t="str">
        <f>_xlfn.CONCAT(Sheet1!A306," -",Sheet1!B306)</f>
        <v>M1304 -Movie_304</v>
      </c>
      <c r="G306" t="str">
        <f>LEFT(Sheet1!F306,3)</f>
        <v>Jap</v>
      </c>
      <c r="H306" t="str">
        <f>RIGHT(Sheet1!G306,2)</f>
        <v>11</v>
      </c>
      <c r="I306">
        <f>LEN(Sheet1!B306)</f>
        <v>9</v>
      </c>
      <c r="J306" t="str">
        <f>TRIM(Sheet1!C306)</f>
        <v>Action</v>
      </c>
      <c r="K306" t="str">
        <f>VLOOKUP(Sheet1!A306,Sheet1!A306:I805,3,0)</f>
        <v>Action</v>
      </c>
      <c r="L306">
        <f>VLOOKUP(Sheet1!B306,Sheet1!B306:I805,3,0)</f>
        <v>195</v>
      </c>
    </row>
    <row r="307" spans="5:12" x14ac:dyDescent="0.25">
      <c r="E307" t="str">
        <f>IF(Sheet1!D307&gt;120,"Long","Short")</f>
        <v>Long</v>
      </c>
      <c r="F307" t="str">
        <f>_xlfn.CONCAT(Sheet1!A307," -",Sheet1!B307)</f>
        <v>M1305 -Movie_305</v>
      </c>
      <c r="G307" t="str">
        <f>LEFT(Sheet1!F307,3)</f>
        <v>Fre</v>
      </c>
      <c r="H307" t="str">
        <f>RIGHT(Sheet1!G307,2)</f>
        <v>91</v>
      </c>
      <c r="I307">
        <f>LEN(Sheet1!B307)</f>
        <v>9</v>
      </c>
      <c r="J307" t="str">
        <f>TRIM(Sheet1!C307)</f>
        <v>Horror</v>
      </c>
      <c r="K307" t="str">
        <f>VLOOKUP(Sheet1!A307,Sheet1!A307:I806,3,0)</f>
        <v>Horror</v>
      </c>
      <c r="L307">
        <f>VLOOKUP(Sheet1!B307,Sheet1!B307:I806,3,0)</f>
        <v>148</v>
      </c>
    </row>
    <row r="308" spans="5:12" x14ac:dyDescent="0.25">
      <c r="E308" t="str">
        <f>IF(Sheet1!D308&gt;120,"Long","Short")</f>
        <v>Long</v>
      </c>
      <c r="F308" t="str">
        <f>_xlfn.CONCAT(Sheet1!A308," -",Sheet1!B308)</f>
        <v>M1306 -Movie_306</v>
      </c>
      <c r="G308" t="str">
        <f>LEFT(Sheet1!F308,3)</f>
        <v>Hin</v>
      </c>
      <c r="H308" t="str">
        <f>RIGHT(Sheet1!G308,2)</f>
        <v>98</v>
      </c>
      <c r="I308">
        <f>LEN(Sheet1!B308)</f>
        <v>9</v>
      </c>
      <c r="J308" t="str">
        <f>TRIM(Sheet1!C308)</f>
        <v>Sci-Fi</v>
      </c>
      <c r="K308" t="str">
        <f>VLOOKUP(Sheet1!A308,Sheet1!A308:I807,3,0)</f>
        <v>Sci-Fi</v>
      </c>
      <c r="L308">
        <f>VLOOKUP(Sheet1!B308,Sheet1!B308:I807,3,0)</f>
        <v>168</v>
      </c>
    </row>
    <row r="309" spans="5:12" x14ac:dyDescent="0.25">
      <c r="E309" t="str">
        <f>IF(Sheet1!D309&gt;120,"Long","Short")</f>
        <v>Long</v>
      </c>
      <c r="F309" t="str">
        <f>_xlfn.CONCAT(Sheet1!A309," -",Sheet1!B309)</f>
        <v>M1307 -Movie_307</v>
      </c>
      <c r="G309" t="str">
        <f>LEFT(Sheet1!F309,3)</f>
        <v>Ger</v>
      </c>
      <c r="H309" t="str">
        <f>RIGHT(Sheet1!G309,2)</f>
        <v>82</v>
      </c>
      <c r="I309">
        <f>LEN(Sheet1!B309)</f>
        <v>9</v>
      </c>
      <c r="J309" t="str">
        <f>TRIM(Sheet1!C309)</f>
        <v>Action</v>
      </c>
      <c r="K309" t="str">
        <f>VLOOKUP(Sheet1!A309,Sheet1!A309:I808,3,0)</f>
        <v>Action</v>
      </c>
      <c r="L309">
        <f>VLOOKUP(Sheet1!B309,Sheet1!B309:I808,3,0)</f>
        <v>200</v>
      </c>
    </row>
    <row r="310" spans="5:12" x14ac:dyDescent="0.25">
      <c r="E310" t="str">
        <f>IF(Sheet1!D310&gt;120,"Long","Short")</f>
        <v>Long</v>
      </c>
      <c r="F310" t="str">
        <f>_xlfn.CONCAT(Sheet1!A310," -",Sheet1!B310)</f>
        <v>M1308 -Movie_308</v>
      </c>
      <c r="G310" t="str">
        <f>LEFT(Sheet1!F310,3)</f>
        <v>Fre</v>
      </c>
      <c r="H310" t="str">
        <f>RIGHT(Sheet1!G310,2)</f>
        <v>80</v>
      </c>
      <c r="I310">
        <f>LEN(Sheet1!B310)</f>
        <v>9</v>
      </c>
      <c r="J310" t="str">
        <f>TRIM(Sheet1!C310)</f>
        <v>Action</v>
      </c>
      <c r="K310" t="str">
        <f>VLOOKUP(Sheet1!A310,Sheet1!A310:I809,3,0)</f>
        <v>Action</v>
      </c>
      <c r="L310">
        <f>VLOOKUP(Sheet1!B310,Sheet1!B310:I809,3,0)</f>
        <v>144</v>
      </c>
    </row>
    <row r="311" spans="5:12" x14ac:dyDescent="0.25">
      <c r="E311" t="str">
        <f>IF(Sheet1!D311&gt;120,"Long","Short")</f>
        <v>Long</v>
      </c>
      <c r="F311" t="str">
        <f>_xlfn.CONCAT(Sheet1!A311," -",Sheet1!B311)</f>
        <v>M1309 -Movie_309</v>
      </c>
      <c r="G311" t="str">
        <f>LEFT(Sheet1!F311,3)</f>
        <v>Jap</v>
      </c>
      <c r="H311" t="str">
        <f>RIGHT(Sheet1!G311,2)</f>
        <v>99</v>
      </c>
      <c r="I311">
        <f>LEN(Sheet1!B311)</f>
        <v>9</v>
      </c>
      <c r="J311" t="str">
        <f>TRIM(Sheet1!C311)</f>
        <v>Comedy</v>
      </c>
      <c r="K311" t="str">
        <f>VLOOKUP(Sheet1!A311,Sheet1!A311:I810,3,0)</f>
        <v>Comedy</v>
      </c>
      <c r="L311">
        <f>VLOOKUP(Sheet1!B311,Sheet1!B311:I810,3,0)</f>
        <v>150</v>
      </c>
    </row>
    <row r="312" spans="5:12" x14ac:dyDescent="0.25">
      <c r="E312" t="str">
        <f>IF(Sheet1!D312&gt;120,"Long","Short")</f>
        <v>Long</v>
      </c>
      <c r="F312" t="str">
        <f>_xlfn.CONCAT(Sheet1!A312," -",Sheet1!B312)</f>
        <v>M1310 -Movie_310</v>
      </c>
      <c r="G312" t="str">
        <f>LEFT(Sheet1!F312,3)</f>
        <v>Eng</v>
      </c>
      <c r="H312" t="str">
        <f>RIGHT(Sheet1!G312,2)</f>
        <v>16</v>
      </c>
      <c r="I312">
        <f>LEN(Sheet1!B312)</f>
        <v>9</v>
      </c>
      <c r="J312" t="str">
        <f>TRIM(Sheet1!C312)</f>
        <v>Comedy</v>
      </c>
      <c r="K312" t="str">
        <f>VLOOKUP(Sheet1!A312,Sheet1!A312:I811,3,0)</f>
        <v>Comedy</v>
      </c>
      <c r="L312">
        <f>VLOOKUP(Sheet1!B312,Sheet1!B312:I811,3,0)</f>
        <v>176</v>
      </c>
    </row>
    <row r="313" spans="5:12" x14ac:dyDescent="0.25">
      <c r="E313" t="str">
        <f>IF(Sheet1!D313&gt;120,"Long","Short")</f>
        <v>Long</v>
      </c>
      <c r="F313" t="str">
        <f>_xlfn.CONCAT(Sheet1!A313," -",Sheet1!B313)</f>
        <v>M1311 -Movie_311</v>
      </c>
      <c r="G313" t="str">
        <f>LEFT(Sheet1!F313,3)</f>
        <v>Eng</v>
      </c>
      <c r="H313" t="str">
        <f>RIGHT(Sheet1!G313,2)</f>
        <v>18</v>
      </c>
      <c r="I313">
        <f>LEN(Sheet1!B313)</f>
        <v>9</v>
      </c>
      <c r="J313" t="str">
        <f>TRIM(Sheet1!C313)</f>
        <v>Thriller</v>
      </c>
      <c r="K313" t="str">
        <f>VLOOKUP(Sheet1!A313,Sheet1!A313:I812,3,0)</f>
        <v>Thriller</v>
      </c>
      <c r="L313">
        <f>VLOOKUP(Sheet1!B313,Sheet1!B313:I812,3,0)</f>
        <v>129</v>
      </c>
    </row>
    <row r="314" spans="5:12" x14ac:dyDescent="0.25">
      <c r="E314" t="str">
        <f>IF(Sheet1!D314&gt;120,"Long","Short")</f>
        <v>Long</v>
      </c>
      <c r="F314" t="str">
        <f>_xlfn.CONCAT(Sheet1!A314," -",Sheet1!B314)</f>
        <v>M1312 -Movie_312</v>
      </c>
      <c r="G314" t="str">
        <f>LEFT(Sheet1!F314,3)</f>
        <v>Jap</v>
      </c>
      <c r="H314" t="str">
        <f>RIGHT(Sheet1!G314,2)</f>
        <v>86</v>
      </c>
      <c r="I314">
        <f>LEN(Sheet1!B314)</f>
        <v>9</v>
      </c>
      <c r="J314" t="str">
        <f>TRIM(Sheet1!C314)</f>
        <v>Thriller</v>
      </c>
      <c r="K314" t="str">
        <f>VLOOKUP(Sheet1!A314,Sheet1!A314:I813,3,0)</f>
        <v>Thriller</v>
      </c>
      <c r="L314">
        <f>VLOOKUP(Sheet1!B314,Sheet1!B314:I813,3,0)</f>
        <v>138</v>
      </c>
    </row>
    <row r="315" spans="5:12" x14ac:dyDescent="0.25">
      <c r="E315" t="str">
        <f>IF(Sheet1!D315&gt;120,"Long","Short")</f>
        <v>Long</v>
      </c>
      <c r="F315" t="str">
        <f>_xlfn.CONCAT(Sheet1!A315," -",Sheet1!B315)</f>
        <v>M1313 -Movie_313</v>
      </c>
      <c r="G315" t="str">
        <f>LEFT(Sheet1!F315,3)</f>
        <v>Jap</v>
      </c>
      <c r="H315" t="str">
        <f>RIGHT(Sheet1!G315,2)</f>
        <v>01</v>
      </c>
      <c r="I315">
        <f>LEN(Sheet1!B315)</f>
        <v>9</v>
      </c>
      <c r="J315" t="str">
        <f>TRIM(Sheet1!C315)</f>
        <v>Thriller</v>
      </c>
      <c r="K315" t="str">
        <f>VLOOKUP(Sheet1!A315,Sheet1!A315:I814,3,0)</f>
        <v>Thriller</v>
      </c>
      <c r="L315">
        <f>VLOOKUP(Sheet1!B315,Sheet1!B315:I814,3,0)</f>
        <v>124</v>
      </c>
    </row>
    <row r="316" spans="5:12" x14ac:dyDescent="0.25">
      <c r="E316" t="str">
        <f>IF(Sheet1!D316&gt;120,"Long","Short")</f>
        <v>Short</v>
      </c>
      <c r="F316" t="str">
        <f>_xlfn.CONCAT(Sheet1!A316," -",Sheet1!B316)</f>
        <v>M1314 -Movie_314</v>
      </c>
      <c r="G316" t="str">
        <f>LEFT(Sheet1!F316,3)</f>
        <v>Ger</v>
      </c>
      <c r="H316" t="str">
        <f>RIGHT(Sheet1!G316,2)</f>
        <v>98</v>
      </c>
      <c r="I316">
        <f>LEN(Sheet1!B316)</f>
        <v>9</v>
      </c>
      <c r="J316" t="str">
        <f>TRIM(Sheet1!C316)</f>
        <v>Comedy</v>
      </c>
      <c r="K316" t="str">
        <f>VLOOKUP(Sheet1!A316,Sheet1!A316:I815,3,0)</f>
        <v>Comedy</v>
      </c>
      <c r="L316">
        <f>VLOOKUP(Sheet1!B316,Sheet1!B316:I815,3,0)</f>
        <v>119</v>
      </c>
    </row>
    <row r="317" spans="5:12" x14ac:dyDescent="0.25">
      <c r="E317" t="str">
        <f>IF(Sheet1!D317&gt;120,"Long","Short")</f>
        <v>Short</v>
      </c>
      <c r="F317" t="str">
        <f>_xlfn.CONCAT(Sheet1!A317," -",Sheet1!B317)</f>
        <v>M1315 -Movie_315</v>
      </c>
      <c r="G317" t="str">
        <f>LEFT(Sheet1!F317,3)</f>
        <v>Fre</v>
      </c>
      <c r="H317" t="str">
        <f>RIGHT(Sheet1!G317,2)</f>
        <v>09</v>
      </c>
      <c r="I317">
        <f>LEN(Sheet1!B317)</f>
        <v>9</v>
      </c>
      <c r="J317" t="str">
        <f>TRIM(Sheet1!C317)</f>
        <v>Thriller</v>
      </c>
      <c r="K317" t="str">
        <f>VLOOKUP(Sheet1!A317,Sheet1!A317:I816,3,0)</f>
        <v>Thriller</v>
      </c>
      <c r="L317">
        <f>VLOOKUP(Sheet1!B317,Sheet1!B317:I816,3,0)</f>
        <v>90</v>
      </c>
    </row>
    <row r="318" spans="5:12" x14ac:dyDescent="0.25">
      <c r="E318" t="str">
        <f>IF(Sheet1!D318&gt;120,"Long","Short")</f>
        <v>Short</v>
      </c>
      <c r="F318" t="str">
        <f>_xlfn.CONCAT(Sheet1!A318," -",Sheet1!B318)</f>
        <v>M1316 -Movie_316</v>
      </c>
      <c r="G318" t="str">
        <f>LEFT(Sheet1!F318,3)</f>
        <v>Hin</v>
      </c>
      <c r="H318" t="str">
        <f>RIGHT(Sheet1!G318,2)</f>
        <v>21</v>
      </c>
      <c r="I318">
        <f>LEN(Sheet1!B318)</f>
        <v>9</v>
      </c>
      <c r="J318" t="str">
        <f>TRIM(Sheet1!C318)</f>
        <v>Action</v>
      </c>
      <c r="K318" t="str">
        <f>VLOOKUP(Sheet1!A318,Sheet1!A318:I817,3,0)</f>
        <v>Action</v>
      </c>
      <c r="L318">
        <f>VLOOKUP(Sheet1!B318,Sheet1!B318:I817,3,0)</f>
        <v>109</v>
      </c>
    </row>
    <row r="319" spans="5:12" x14ac:dyDescent="0.25">
      <c r="E319" t="str">
        <f>IF(Sheet1!D319&gt;120,"Long","Short")</f>
        <v>Long</v>
      </c>
      <c r="F319" t="str">
        <f>_xlfn.CONCAT(Sheet1!A319," -",Sheet1!B319)</f>
        <v>M1317 -Movie_317</v>
      </c>
      <c r="G319" t="str">
        <f>LEFT(Sheet1!F319,3)</f>
        <v>Jap</v>
      </c>
      <c r="H319" t="str">
        <f>RIGHT(Sheet1!G319,2)</f>
        <v>14</v>
      </c>
      <c r="I319">
        <f>LEN(Sheet1!B319)</f>
        <v>9</v>
      </c>
      <c r="J319" t="str">
        <f>TRIM(Sheet1!C319)</f>
        <v>Comedy</v>
      </c>
      <c r="K319" t="str">
        <f>VLOOKUP(Sheet1!A319,Sheet1!A319:I818,3,0)</f>
        <v>Comedy</v>
      </c>
      <c r="L319">
        <f>VLOOKUP(Sheet1!B319,Sheet1!B319:I818,3,0)</f>
        <v>140</v>
      </c>
    </row>
    <row r="320" spans="5:12" x14ac:dyDescent="0.25">
      <c r="E320" t="str">
        <f>IF(Sheet1!D320&gt;120,"Long","Short")</f>
        <v>Short</v>
      </c>
      <c r="F320" t="str">
        <f>_xlfn.CONCAT(Sheet1!A320," -",Sheet1!B320)</f>
        <v>M1318 -Movie_318</v>
      </c>
      <c r="G320" t="str">
        <f>LEFT(Sheet1!F320,3)</f>
        <v>Jap</v>
      </c>
      <c r="H320" t="str">
        <f>RIGHT(Sheet1!G320,2)</f>
        <v>13</v>
      </c>
      <c r="I320">
        <f>LEN(Sheet1!B320)</f>
        <v>9</v>
      </c>
      <c r="J320" t="str">
        <f>TRIM(Sheet1!C320)</f>
        <v>Thriller</v>
      </c>
      <c r="K320" t="str">
        <f>VLOOKUP(Sheet1!A320,Sheet1!A320:I819,3,0)</f>
        <v>Thriller</v>
      </c>
      <c r="L320">
        <f>VLOOKUP(Sheet1!B320,Sheet1!B320:I819,3,0)</f>
        <v>90</v>
      </c>
    </row>
    <row r="321" spans="5:12" x14ac:dyDescent="0.25">
      <c r="E321" t="str">
        <f>IF(Sheet1!D321&gt;120,"Long","Short")</f>
        <v>Long</v>
      </c>
      <c r="F321" t="str">
        <f>_xlfn.CONCAT(Sheet1!A321," -",Sheet1!B321)</f>
        <v>M1319 -Movie_319</v>
      </c>
      <c r="G321" t="str">
        <f>LEFT(Sheet1!F321,3)</f>
        <v>Spa</v>
      </c>
      <c r="H321" t="str">
        <f>RIGHT(Sheet1!G321,2)</f>
        <v>11</v>
      </c>
      <c r="I321">
        <f>LEN(Sheet1!B321)</f>
        <v>9</v>
      </c>
      <c r="J321" t="str">
        <f>TRIM(Sheet1!C321)</f>
        <v>Action</v>
      </c>
      <c r="K321" t="str">
        <f>VLOOKUP(Sheet1!A321,Sheet1!A321:I820,3,0)</f>
        <v>Action</v>
      </c>
      <c r="L321">
        <f>VLOOKUP(Sheet1!B321,Sheet1!B321:I820,3,0)</f>
        <v>197</v>
      </c>
    </row>
    <row r="322" spans="5:12" x14ac:dyDescent="0.25">
      <c r="E322" t="str">
        <f>IF(Sheet1!D322&gt;120,"Long","Short")</f>
        <v>Short</v>
      </c>
      <c r="F322" t="str">
        <f>_xlfn.CONCAT(Sheet1!A322," -",Sheet1!B322)</f>
        <v>M1320 -Movie_320</v>
      </c>
      <c r="G322" t="str">
        <f>LEFT(Sheet1!F322,3)</f>
        <v>Eng</v>
      </c>
      <c r="H322" t="str">
        <f>RIGHT(Sheet1!G322,2)</f>
        <v>88</v>
      </c>
      <c r="I322">
        <f>LEN(Sheet1!B322)</f>
        <v>9</v>
      </c>
      <c r="J322" t="str">
        <f>TRIM(Sheet1!C322)</f>
        <v>Thriller</v>
      </c>
      <c r="K322" t="str">
        <f>VLOOKUP(Sheet1!A322,Sheet1!A322:I821,3,0)</f>
        <v>Thriller</v>
      </c>
      <c r="L322">
        <f>VLOOKUP(Sheet1!B322,Sheet1!B322:I821,3,0)</f>
        <v>107</v>
      </c>
    </row>
    <row r="323" spans="5:12" x14ac:dyDescent="0.25">
      <c r="E323" t="str">
        <f>IF(Sheet1!D323&gt;120,"Long","Short")</f>
        <v>Short</v>
      </c>
      <c r="F323" t="str">
        <f>_xlfn.CONCAT(Sheet1!A323," -",Sheet1!B323)</f>
        <v>M1321 -Movie_321</v>
      </c>
      <c r="G323" t="str">
        <f>LEFT(Sheet1!F323,3)</f>
        <v>Spa</v>
      </c>
      <c r="H323" t="str">
        <f>RIGHT(Sheet1!G323,2)</f>
        <v>12</v>
      </c>
      <c r="I323">
        <f>LEN(Sheet1!B323)</f>
        <v>9</v>
      </c>
      <c r="J323" t="str">
        <f>TRIM(Sheet1!C323)</f>
        <v>Drama</v>
      </c>
      <c r="K323" t="str">
        <f>VLOOKUP(Sheet1!A323,Sheet1!A323:I822,3,0)</f>
        <v>Drama</v>
      </c>
      <c r="L323">
        <f>VLOOKUP(Sheet1!B323,Sheet1!B323:I822,3,0)</f>
        <v>109</v>
      </c>
    </row>
    <row r="324" spans="5:12" x14ac:dyDescent="0.25">
      <c r="E324" t="str">
        <f>IF(Sheet1!D324&gt;120,"Long","Short")</f>
        <v>Short</v>
      </c>
      <c r="F324" t="str">
        <f>_xlfn.CONCAT(Sheet1!A324," -",Sheet1!B324)</f>
        <v>M1322 -Movie_322</v>
      </c>
      <c r="G324" t="str">
        <f>LEFT(Sheet1!F324,3)</f>
        <v>Hin</v>
      </c>
      <c r="H324" t="str">
        <f>RIGHT(Sheet1!G324,2)</f>
        <v>09</v>
      </c>
      <c r="I324">
        <f>LEN(Sheet1!B324)</f>
        <v>9</v>
      </c>
      <c r="J324" t="str">
        <f>TRIM(Sheet1!C324)</f>
        <v>Thriller</v>
      </c>
      <c r="K324" t="str">
        <f>VLOOKUP(Sheet1!A324,Sheet1!A324:I823,3,0)</f>
        <v>Thriller</v>
      </c>
      <c r="L324">
        <f>VLOOKUP(Sheet1!B324,Sheet1!B324:I823,3,0)</f>
        <v>115</v>
      </c>
    </row>
    <row r="325" spans="5:12" x14ac:dyDescent="0.25">
      <c r="E325" t="str">
        <f>IF(Sheet1!D325&gt;120,"Long","Short")</f>
        <v>Long</v>
      </c>
      <c r="F325" t="str">
        <f>_xlfn.CONCAT(Sheet1!A325," -",Sheet1!B325)</f>
        <v>M1323 -Movie_323</v>
      </c>
      <c r="G325" t="str">
        <f>LEFT(Sheet1!F325,3)</f>
        <v>Jap</v>
      </c>
      <c r="H325" t="str">
        <f>RIGHT(Sheet1!G325,2)</f>
        <v>97</v>
      </c>
      <c r="I325">
        <f>LEN(Sheet1!B325)</f>
        <v>9</v>
      </c>
      <c r="J325" t="str">
        <f>TRIM(Sheet1!C325)</f>
        <v>Drama</v>
      </c>
      <c r="K325" t="str">
        <f>VLOOKUP(Sheet1!A325,Sheet1!A325:I824,3,0)</f>
        <v>Drama</v>
      </c>
      <c r="L325">
        <f>VLOOKUP(Sheet1!B325,Sheet1!B325:I824,3,0)</f>
        <v>183</v>
      </c>
    </row>
    <row r="326" spans="5:12" x14ac:dyDescent="0.25">
      <c r="E326" t="str">
        <f>IF(Sheet1!D326&gt;120,"Long","Short")</f>
        <v>Long</v>
      </c>
      <c r="F326" t="str">
        <f>_xlfn.CONCAT(Sheet1!A326," -",Sheet1!B326)</f>
        <v>M1324 -Movie_324</v>
      </c>
      <c r="G326" t="str">
        <f>LEFT(Sheet1!F326,3)</f>
        <v>Ger</v>
      </c>
      <c r="H326" t="str">
        <f>RIGHT(Sheet1!G326,2)</f>
        <v>92</v>
      </c>
      <c r="I326">
        <f>LEN(Sheet1!B326)</f>
        <v>9</v>
      </c>
      <c r="J326" t="str">
        <f>TRIM(Sheet1!C326)</f>
        <v>Thriller</v>
      </c>
      <c r="K326" t="str">
        <f>VLOOKUP(Sheet1!A326,Sheet1!A326:I825,3,0)</f>
        <v>Thriller</v>
      </c>
      <c r="L326">
        <f>VLOOKUP(Sheet1!B326,Sheet1!B326:I825,3,0)</f>
        <v>130</v>
      </c>
    </row>
    <row r="327" spans="5:12" x14ac:dyDescent="0.25">
      <c r="E327" t="str">
        <f>IF(Sheet1!D327&gt;120,"Long","Short")</f>
        <v>Long</v>
      </c>
      <c r="F327" t="str">
        <f>_xlfn.CONCAT(Sheet1!A327," -",Sheet1!B327)</f>
        <v>M1325 -Movie_325</v>
      </c>
      <c r="G327" t="str">
        <f>LEFT(Sheet1!F327,3)</f>
        <v>Eng</v>
      </c>
      <c r="H327" t="str">
        <f>RIGHT(Sheet1!G327,2)</f>
        <v>87</v>
      </c>
      <c r="I327">
        <f>LEN(Sheet1!B327)</f>
        <v>9</v>
      </c>
      <c r="J327" t="str">
        <f>TRIM(Sheet1!C327)</f>
        <v>Horror</v>
      </c>
      <c r="K327" t="str">
        <f>VLOOKUP(Sheet1!A327,Sheet1!A327:I826,3,0)</f>
        <v>Horror</v>
      </c>
      <c r="L327">
        <f>VLOOKUP(Sheet1!B327,Sheet1!B327:I826,3,0)</f>
        <v>194</v>
      </c>
    </row>
    <row r="328" spans="5:12" x14ac:dyDescent="0.25">
      <c r="E328" t="str">
        <f>IF(Sheet1!D328&gt;120,"Long","Short")</f>
        <v>Long</v>
      </c>
      <c r="F328" t="str">
        <f>_xlfn.CONCAT(Sheet1!A328," -",Sheet1!B328)</f>
        <v>M1326 -Movie_326</v>
      </c>
      <c r="G328" t="str">
        <f>LEFT(Sheet1!F328,3)</f>
        <v>Spa</v>
      </c>
      <c r="H328" t="str">
        <f>RIGHT(Sheet1!G328,2)</f>
        <v>01</v>
      </c>
      <c r="I328">
        <f>LEN(Sheet1!B328)</f>
        <v>9</v>
      </c>
      <c r="J328" t="str">
        <f>TRIM(Sheet1!C328)</f>
        <v>Horror</v>
      </c>
      <c r="K328" t="str">
        <f>VLOOKUP(Sheet1!A328,Sheet1!A328:I827,3,0)</f>
        <v>Horror</v>
      </c>
      <c r="L328">
        <f>VLOOKUP(Sheet1!B328,Sheet1!B328:I827,3,0)</f>
        <v>132</v>
      </c>
    </row>
    <row r="329" spans="5:12" x14ac:dyDescent="0.25">
      <c r="E329" t="str">
        <f>IF(Sheet1!D329&gt;120,"Long","Short")</f>
        <v>Short</v>
      </c>
      <c r="F329" t="str">
        <f>_xlfn.CONCAT(Sheet1!A329," -",Sheet1!B329)</f>
        <v>M1327 -Movie_327</v>
      </c>
      <c r="G329" t="str">
        <f>LEFT(Sheet1!F329,3)</f>
        <v>Eng</v>
      </c>
      <c r="H329" t="str">
        <f>RIGHT(Sheet1!G329,2)</f>
        <v>90</v>
      </c>
      <c r="I329">
        <f>LEN(Sheet1!B329)</f>
        <v>9</v>
      </c>
      <c r="J329" t="str">
        <f>TRIM(Sheet1!C329)</f>
        <v>Sci-Fi</v>
      </c>
      <c r="K329" t="str">
        <f>VLOOKUP(Sheet1!A329,Sheet1!A329:I828,3,0)</f>
        <v>Sci-Fi</v>
      </c>
      <c r="L329">
        <f>VLOOKUP(Sheet1!B329,Sheet1!B329:I828,3,0)</f>
        <v>85</v>
      </c>
    </row>
    <row r="330" spans="5:12" x14ac:dyDescent="0.25">
      <c r="E330" t="str">
        <f>IF(Sheet1!D330&gt;120,"Long","Short")</f>
        <v>Short</v>
      </c>
      <c r="F330" t="str">
        <f>_xlfn.CONCAT(Sheet1!A330," -",Sheet1!B330)</f>
        <v>M1328 -Movie_328</v>
      </c>
      <c r="G330" t="str">
        <f>LEFT(Sheet1!F330,3)</f>
        <v>Spa</v>
      </c>
      <c r="H330" t="str">
        <f>RIGHT(Sheet1!G330,2)</f>
        <v>09</v>
      </c>
      <c r="I330">
        <f>LEN(Sheet1!B330)</f>
        <v>9</v>
      </c>
      <c r="J330" t="str">
        <f>TRIM(Sheet1!C330)</f>
        <v>Horror</v>
      </c>
      <c r="K330" t="str">
        <f>VLOOKUP(Sheet1!A330,Sheet1!A330:I829,3,0)</f>
        <v>Horror</v>
      </c>
      <c r="L330">
        <f>VLOOKUP(Sheet1!B330,Sheet1!B330:I829,3,0)</f>
        <v>109</v>
      </c>
    </row>
    <row r="331" spans="5:12" x14ac:dyDescent="0.25">
      <c r="E331" t="str">
        <f>IF(Sheet1!D331&gt;120,"Long","Short")</f>
        <v>Long</v>
      </c>
      <c r="F331" t="str">
        <f>_xlfn.CONCAT(Sheet1!A331," -",Sheet1!B331)</f>
        <v>M1329 -Movie_329</v>
      </c>
      <c r="G331" t="str">
        <f>LEFT(Sheet1!F331,3)</f>
        <v>Jap</v>
      </c>
      <c r="H331" t="str">
        <f>RIGHT(Sheet1!G331,2)</f>
        <v>21</v>
      </c>
      <c r="I331">
        <f>LEN(Sheet1!B331)</f>
        <v>9</v>
      </c>
      <c r="J331" t="str">
        <f>TRIM(Sheet1!C331)</f>
        <v>Horror</v>
      </c>
      <c r="K331" t="str">
        <f>VLOOKUP(Sheet1!A331,Sheet1!A331:I830,3,0)</f>
        <v>Horror</v>
      </c>
      <c r="L331">
        <f>VLOOKUP(Sheet1!B331,Sheet1!B331:I830,3,0)</f>
        <v>135</v>
      </c>
    </row>
    <row r="332" spans="5:12" x14ac:dyDescent="0.25">
      <c r="E332" t="str">
        <f>IF(Sheet1!D332&gt;120,"Long","Short")</f>
        <v>Short</v>
      </c>
      <c r="F332" t="str">
        <f>_xlfn.CONCAT(Sheet1!A332," -",Sheet1!B332)</f>
        <v>M1330 -Movie_330</v>
      </c>
      <c r="G332" t="str">
        <f>LEFT(Sheet1!F332,3)</f>
        <v>Fre</v>
      </c>
      <c r="H332" t="str">
        <f>RIGHT(Sheet1!G332,2)</f>
        <v>96</v>
      </c>
      <c r="I332">
        <f>LEN(Sheet1!B332)</f>
        <v>9</v>
      </c>
      <c r="J332" t="str">
        <f>TRIM(Sheet1!C332)</f>
        <v>Thriller</v>
      </c>
      <c r="K332" t="str">
        <f>VLOOKUP(Sheet1!A332,Sheet1!A332:I831,3,0)</f>
        <v>Thriller</v>
      </c>
      <c r="L332">
        <f>VLOOKUP(Sheet1!B332,Sheet1!B332:I831,3,0)</f>
        <v>118</v>
      </c>
    </row>
    <row r="333" spans="5:12" x14ac:dyDescent="0.25">
      <c r="E333" t="str">
        <f>IF(Sheet1!D333&gt;120,"Long","Short")</f>
        <v>Long</v>
      </c>
      <c r="F333" t="str">
        <f>_xlfn.CONCAT(Sheet1!A333," -",Sheet1!B333)</f>
        <v>M1331 -Movie_331</v>
      </c>
      <c r="G333" t="str">
        <f>LEFT(Sheet1!F333,3)</f>
        <v>Fre</v>
      </c>
      <c r="H333" t="str">
        <f>RIGHT(Sheet1!G333,2)</f>
        <v>25</v>
      </c>
      <c r="I333">
        <f>LEN(Sheet1!B333)</f>
        <v>9</v>
      </c>
      <c r="J333" t="str">
        <f>TRIM(Sheet1!C333)</f>
        <v>Comedy</v>
      </c>
      <c r="K333" t="str">
        <f>VLOOKUP(Sheet1!A333,Sheet1!A333:I832,3,0)</f>
        <v>Comedy</v>
      </c>
      <c r="L333">
        <f>VLOOKUP(Sheet1!B333,Sheet1!B333:I832,3,0)</f>
        <v>152</v>
      </c>
    </row>
    <row r="334" spans="5:12" x14ac:dyDescent="0.25">
      <c r="E334" t="str">
        <f>IF(Sheet1!D334&gt;120,"Long","Short")</f>
        <v>Short</v>
      </c>
      <c r="F334" t="str">
        <f>_xlfn.CONCAT(Sheet1!A334," -",Sheet1!B334)</f>
        <v>M1332 -Movie_332</v>
      </c>
      <c r="G334" t="str">
        <f>LEFT(Sheet1!F334,3)</f>
        <v>Ger</v>
      </c>
      <c r="H334" t="str">
        <f>RIGHT(Sheet1!G334,2)</f>
        <v>91</v>
      </c>
      <c r="I334">
        <f>LEN(Sheet1!B334)</f>
        <v>9</v>
      </c>
      <c r="J334" t="str">
        <f>TRIM(Sheet1!C334)</f>
        <v>Comedy</v>
      </c>
      <c r="K334" t="str">
        <f>VLOOKUP(Sheet1!A334,Sheet1!A334:I833,3,0)</f>
        <v>Comedy</v>
      </c>
      <c r="L334">
        <f>VLOOKUP(Sheet1!B334,Sheet1!B334:I833,3,0)</f>
        <v>105</v>
      </c>
    </row>
    <row r="335" spans="5:12" x14ac:dyDescent="0.25">
      <c r="E335" t="str">
        <f>IF(Sheet1!D335&gt;120,"Long","Short")</f>
        <v>Long</v>
      </c>
      <c r="F335" t="str">
        <f>_xlfn.CONCAT(Sheet1!A335," -",Sheet1!B335)</f>
        <v>M1333 -Movie_333</v>
      </c>
      <c r="G335" t="str">
        <f>LEFT(Sheet1!F335,3)</f>
        <v>Hin</v>
      </c>
      <c r="H335" t="str">
        <f>RIGHT(Sheet1!G335,2)</f>
        <v>80</v>
      </c>
      <c r="I335">
        <f>LEN(Sheet1!B335)</f>
        <v>9</v>
      </c>
      <c r="J335" t="str">
        <f>TRIM(Sheet1!C335)</f>
        <v>Drama</v>
      </c>
      <c r="K335" t="str">
        <f>VLOOKUP(Sheet1!A335,Sheet1!A335:I834,3,0)</f>
        <v>Drama</v>
      </c>
      <c r="L335">
        <f>VLOOKUP(Sheet1!B335,Sheet1!B335:I834,3,0)</f>
        <v>137</v>
      </c>
    </row>
    <row r="336" spans="5:12" x14ac:dyDescent="0.25">
      <c r="E336" t="str">
        <f>IF(Sheet1!D336&gt;120,"Long","Short")</f>
        <v>Short</v>
      </c>
      <c r="F336" t="str">
        <f>_xlfn.CONCAT(Sheet1!A336," -",Sheet1!B336)</f>
        <v>M1334 -Movie_334</v>
      </c>
      <c r="G336" t="str">
        <f>LEFT(Sheet1!F336,3)</f>
        <v>Eng</v>
      </c>
      <c r="H336" t="str">
        <f>RIGHT(Sheet1!G336,2)</f>
        <v>01</v>
      </c>
      <c r="I336">
        <f>LEN(Sheet1!B336)</f>
        <v>9</v>
      </c>
      <c r="J336" t="str">
        <f>TRIM(Sheet1!C336)</f>
        <v>Comedy</v>
      </c>
      <c r="K336" t="str">
        <f>VLOOKUP(Sheet1!A336,Sheet1!A336:I835,3,0)</f>
        <v>Comedy</v>
      </c>
      <c r="L336">
        <f>VLOOKUP(Sheet1!B336,Sheet1!B336:I835,3,0)</f>
        <v>63</v>
      </c>
    </row>
    <row r="337" spans="5:12" x14ac:dyDescent="0.25">
      <c r="E337" t="str">
        <f>IF(Sheet1!D337&gt;120,"Long","Short")</f>
        <v>Long</v>
      </c>
      <c r="F337" t="str">
        <f>_xlfn.CONCAT(Sheet1!A337," -",Sheet1!B337)</f>
        <v>M1335 -Movie_335</v>
      </c>
      <c r="G337" t="str">
        <f>LEFT(Sheet1!F337,3)</f>
        <v>Hin</v>
      </c>
      <c r="H337" t="str">
        <f>RIGHT(Sheet1!G337,2)</f>
        <v>98</v>
      </c>
      <c r="I337">
        <f>LEN(Sheet1!B337)</f>
        <v>9</v>
      </c>
      <c r="J337" t="str">
        <f>TRIM(Sheet1!C337)</f>
        <v>Action</v>
      </c>
      <c r="K337" t="str">
        <f>VLOOKUP(Sheet1!A337,Sheet1!A337:I836,3,0)</f>
        <v>Action</v>
      </c>
      <c r="L337">
        <f>VLOOKUP(Sheet1!B337,Sheet1!B337:I836,3,0)</f>
        <v>196</v>
      </c>
    </row>
    <row r="338" spans="5:12" x14ac:dyDescent="0.25">
      <c r="E338" t="str">
        <f>IF(Sheet1!D338&gt;120,"Long","Short")</f>
        <v>Short</v>
      </c>
      <c r="F338" t="str">
        <f>_xlfn.CONCAT(Sheet1!A338," -",Sheet1!B338)</f>
        <v>M1336 -Movie_336</v>
      </c>
      <c r="G338" t="str">
        <f>LEFT(Sheet1!F338,3)</f>
        <v>Spa</v>
      </c>
      <c r="H338" t="str">
        <f>RIGHT(Sheet1!G338,2)</f>
        <v>16</v>
      </c>
      <c r="I338">
        <f>LEN(Sheet1!B338)</f>
        <v>9</v>
      </c>
      <c r="J338" t="str">
        <f>TRIM(Sheet1!C338)</f>
        <v>Sci-Fi</v>
      </c>
      <c r="K338" t="str">
        <f>VLOOKUP(Sheet1!A338,Sheet1!A338:I837,3,0)</f>
        <v>Sci-Fi</v>
      </c>
      <c r="L338">
        <f>VLOOKUP(Sheet1!B338,Sheet1!B338:I837,3,0)</f>
        <v>92</v>
      </c>
    </row>
    <row r="339" spans="5:12" x14ac:dyDescent="0.25">
      <c r="E339" t="str">
        <f>IF(Sheet1!D339&gt;120,"Long","Short")</f>
        <v>Long</v>
      </c>
      <c r="F339" t="str">
        <f>_xlfn.CONCAT(Sheet1!A339," -",Sheet1!B339)</f>
        <v>M1337 -Movie_337</v>
      </c>
      <c r="G339" t="str">
        <f>LEFT(Sheet1!F339,3)</f>
        <v>Jap</v>
      </c>
      <c r="H339" t="str">
        <f>RIGHT(Sheet1!G339,2)</f>
        <v>23</v>
      </c>
      <c r="I339">
        <f>LEN(Sheet1!B339)</f>
        <v>9</v>
      </c>
      <c r="J339" t="str">
        <f>TRIM(Sheet1!C339)</f>
        <v>Horror</v>
      </c>
      <c r="K339" t="str">
        <f>VLOOKUP(Sheet1!A339,Sheet1!A339:I838,3,0)</f>
        <v>Horror</v>
      </c>
      <c r="L339">
        <f>VLOOKUP(Sheet1!B339,Sheet1!B339:I838,3,0)</f>
        <v>130</v>
      </c>
    </row>
    <row r="340" spans="5:12" x14ac:dyDescent="0.25">
      <c r="E340" t="str">
        <f>IF(Sheet1!D340&gt;120,"Long","Short")</f>
        <v>Short</v>
      </c>
      <c r="F340" t="str">
        <f>_xlfn.CONCAT(Sheet1!A340," -",Sheet1!B340)</f>
        <v>M1338 -Movie_338</v>
      </c>
      <c r="G340" t="str">
        <f>LEFT(Sheet1!F340,3)</f>
        <v>Ger</v>
      </c>
      <c r="H340" t="str">
        <f>RIGHT(Sheet1!G340,2)</f>
        <v>92</v>
      </c>
      <c r="I340">
        <f>LEN(Sheet1!B340)</f>
        <v>9</v>
      </c>
      <c r="J340" t="str">
        <f>TRIM(Sheet1!C340)</f>
        <v>Sci-Fi</v>
      </c>
      <c r="K340" t="str">
        <f>VLOOKUP(Sheet1!A340,Sheet1!A340:I839,3,0)</f>
        <v>Sci-Fi</v>
      </c>
      <c r="L340">
        <f>VLOOKUP(Sheet1!B340,Sheet1!B340:I839,3,0)</f>
        <v>71</v>
      </c>
    </row>
    <row r="341" spans="5:12" x14ac:dyDescent="0.25">
      <c r="E341" t="str">
        <f>IF(Sheet1!D341&gt;120,"Long","Short")</f>
        <v>Short</v>
      </c>
      <c r="F341" t="str">
        <f>_xlfn.CONCAT(Sheet1!A341," -",Sheet1!B341)</f>
        <v>M1339 -Movie_339</v>
      </c>
      <c r="G341" t="str">
        <f>LEFT(Sheet1!F341,3)</f>
        <v>Fre</v>
      </c>
      <c r="H341" t="str">
        <f>RIGHT(Sheet1!G341,2)</f>
        <v>91</v>
      </c>
      <c r="I341">
        <f>LEN(Sheet1!B341)</f>
        <v>9</v>
      </c>
      <c r="J341" t="str">
        <f>TRIM(Sheet1!C341)</f>
        <v>Action</v>
      </c>
      <c r="K341" t="str">
        <f>VLOOKUP(Sheet1!A341,Sheet1!A341:I840,3,0)</f>
        <v>Action</v>
      </c>
      <c r="L341">
        <f>VLOOKUP(Sheet1!B341,Sheet1!B341:I840,3,0)</f>
        <v>73</v>
      </c>
    </row>
    <row r="342" spans="5:12" x14ac:dyDescent="0.25">
      <c r="E342" t="str">
        <f>IF(Sheet1!D342&gt;120,"Long","Short")</f>
        <v>Long</v>
      </c>
      <c r="F342" t="str">
        <f>_xlfn.CONCAT(Sheet1!A342," -",Sheet1!B342)</f>
        <v>M1340 -Movie_340</v>
      </c>
      <c r="G342" t="str">
        <f>LEFT(Sheet1!F342,3)</f>
        <v>Fre</v>
      </c>
      <c r="H342" t="str">
        <f>RIGHT(Sheet1!G342,2)</f>
        <v>19</v>
      </c>
      <c r="I342">
        <f>LEN(Sheet1!B342)</f>
        <v>9</v>
      </c>
      <c r="J342" t="str">
        <f>TRIM(Sheet1!C342)</f>
        <v>Horror</v>
      </c>
      <c r="K342" t="str">
        <f>VLOOKUP(Sheet1!A342,Sheet1!A342:I841,3,0)</f>
        <v>Horror</v>
      </c>
      <c r="L342">
        <f>VLOOKUP(Sheet1!B342,Sheet1!B342:I841,3,0)</f>
        <v>134</v>
      </c>
    </row>
    <row r="343" spans="5:12" x14ac:dyDescent="0.25">
      <c r="E343" t="str">
        <f>IF(Sheet1!D343&gt;120,"Long","Short")</f>
        <v>Short</v>
      </c>
      <c r="F343" t="str">
        <f>_xlfn.CONCAT(Sheet1!A343," -",Sheet1!B343)</f>
        <v>M1341 -Movie_341</v>
      </c>
      <c r="G343" t="str">
        <f>LEFT(Sheet1!F343,3)</f>
        <v>Ger</v>
      </c>
      <c r="H343" t="str">
        <f>RIGHT(Sheet1!G343,2)</f>
        <v>20</v>
      </c>
      <c r="I343">
        <f>LEN(Sheet1!B343)</f>
        <v>9</v>
      </c>
      <c r="J343" t="str">
        <f>TRIM(Sheet1!C343)</f>
        <v>Drama</v>
      </c>
      <c r="K343" t="str">
        <f>VLOOKUP(Sheet1!A343,Sheet1!A343:I842,3,0)</f>
        <v>Drama</v>
      </c>
      <c r="L343">
        <f>VLOOKUP(Sheet1!B343,Sheet1!B343:I842,3,0)</f>
        <v>92</v>
      </c>
    </row>
    <row r="344" spans="5:12" x14ac:dyDescent="0.25">
      <c r="E344" t="str">
        <f>IF(Sheet1!D344&gt;120,"Long","Short")</f>
        <v>Long</v>
      </c>
      <c r="F344" t="str">
        <f>_xlfn.CONCAT(Sheet1!A344," -",Sheet1!B344)</f>
        <v>M1342 -Movie_342</v>
      </c>
      <c r="G344" t="str">
        <f>LEFT(Sheet1!F344,3)</f>
        <v>Eng</v>
      </c>
      <c r="H344" t="str">
        <f>RIGHT(Sheet1!G344,2)</f>
        <v>05</v>
      </c>
      <c r="I344">
        <f>LEN(Sheet1!B344)</f>
        <v>9</v>
      </c>
      <c r="J344" t="str">
        <f>TRIM(Sheet1!C344)</f>
        <v>Action</v>
      </c>
      <c r="K344" t="str">
        <f>VLOOKUP(Sheet1!A344,Sheet1!A344:I843,3,0)</f>
        <v>Action</v>
      </c>
      <c r="L344">
        <f>VLOOKUP(Sheet1!B344,Sheet1!B344:I843,3,0)</f>
        <v>185</v>
      </c>
    </row>
    <row r="345" spans="5:12" x14ac:dyDescent="0.25">
      <c r="E345" t="str">
        <f>IF(Sheet1!D345&gt;120,"Long","Short")</f>
        <v>Short</v>
      </c>
      <c r="F345" t="str">
        <f>_xlfn.CONCAT(Sheet1!A345," -",Sheet1!B345)</f>
        <v>M1343 -Movie_343</v>
      </c>
      <c r="G345" t="str">
        <f>LEFT(Sheet1!F345,3)</f>
        <v>Hin</v>
      </c>
      <c r="H345" t="str">
        <f>RIGHT(Sheet1!G345,2)</f>
        <v>07</v>
      </c>
      <c r="I345">
        <f>LEN(Sheet1!B345)</f>
        <v>9</v>
      </c>
      <c r="J345" t="str">
        <f>TRIM(Sheet1!C345)</f>
        <v>Action</v>
      </c>
      <c r="K345" t="str">
        <f>VLOOKUP(Sheet1!A345,Sheet1!A345:I844,3,0)</f>
        <v>Action</v>
      </c>
      <c r="L345">
        <f>VLOOKUP(Sheet1!B345,Sheet1!B345:I844,3,0)</f>
        <v>86</v>
      </c>
    </row>
    <row r="346" spans="5:12" x14ac:dyDescent="0.25">
      <c r="E346" t="str">
        <f>IF(Sheet1!D346&gt;120,"Long","Short")</f>
        <v>Short</v>
      </c>
      <c r="F346" t="str">
        <f>_xlfn.CONCAT(Sheet1!A346," -",Sheet1!B346)</f>
        <v>M1344 -Movie_344</v>
      </c>
      <c r="G346" t="str">
        <f>LEFT(Sheet1!F346,3)</f>
        <v>Spa</v>
      </c>
      <c r="H346" t="str">
        <f>RIGHT(Sheet1!G346,2)</f>
        <v>12</v>
      </c>
      <c r="I346">
        <f>LEN(Sheet1!B346)</f>
        <v>9</v>
      </c>
      <c r="J346" t="str">
        <f>TRIM(Sheet1!C346)</f>
        <v>Sci-Fi</v>
      </c>
      <c r="K346" t="str">
        <f>VLOOKUP(Sheet1!A346,Sheet1!A346:I845,3,0)</f>
        <v>Sci-Fi</v>
      </c>
      <c r="L346">
        <f>VLOOKUP(Sheet1!B346,Sheet1!B346:I845,3,0)</f>
        <v>63</v>
      </c>
    </row>
    <row r="347" spans="5:12" x14ac:dyDescent="0.25">
      <c r="E347" t="str">
        <f>IF(Sheet1!D347&gt;120,"Long","Short")</f>
        <v>Long</v>
      </c>
      <c r="F347" t="str">
        <f>_xlfn.CONCAT(Sheet1!A347," -",Sheet1!B347)</f>
        <v>M1345 -Movie_345</v>
      </c>
      <c r="G347" t="str">
        <f>LEFT(Sheet1!F347,3)</f>
        <v>Hin</v>
      </c>
      <c r="H347" t="str">
        <f>RIGHT(Sheet1!G347,2)</f>
        <v>00</v>
      </c>
      <c r="I347">
        <f>LEN(Sheet1!B347)</f>
        <v>9</v>
      </c>
      <c r="J347" t="str">
        <f>TRIM(Sheet1!C347)</f>
        <v>Thriller</v>
      </c>
      <c r="K347" t="str">
        <f>VLOOKUP(Sheet1!A347,Sheet1!A347:I846,3,0)</f>
        <v>Thriller</v>
      </c>
      <c r="L347">
        <f>VLOOKUP(Sheet1!B347,Sheet1!B347:I846,3,0)</f>
        <v>132</v>
      </c>
    </row>
    <row r="348" spans="5:12" x14ac:dyDescent="0.25">
      <c r="E348" t="str">
        <f>IF(Sheet1!D348&gt;120,"Long","Short")</f>
        <v>Long</v>
      </c>
      <c r="F348" t="str">
        <f>_xlfn.CONCAT(Sheet1!A348," -",Sheet1!B348)</f>
        <v>M1346 -Movie_346</v>
      </c>
      <c r="G348" t="str">
        <f>LEFT(Sheet1!F348,3)</f>
        <v>Fre</v>
      </c>
      <c r="H348" t="str">
        <f>RIGHT(Sheet1!G348,2)</f>
        <v>85</v>
      </c>
      <c r="I348">
        <f>LEN(Sheet1!B348)</f>
        <v>9</v>
      </c>
      <c r="J348" t="str">
        <f>TRIM(Sheet1!C348)</f>
        <v>Sci-Fi</v>
      </c>
      <c r="K348" t="str">
        <f>VLOOKUP(Sheet1!A348,Sheet1!A348:I847,3,0)</f>
        <v>Sci-Fi</v>
      </c>
      <c r="L348">
        <f>VLOOKUP(Sheet1!B348,Sheet1!B348:I847,3,0)</f>
        <v>180</v>
      </c>
    </row>
    <row r="349" spans="5:12" x14ac:dyDescent="0.25">
      <c r="E349" t="str">
        <f>IF(Sheet1!D349&gt;120,"Long","Short")</f>
        <v>Long</v>
      </c>
      <c r="F349" t="str">
        <f>_xlfn.CONCAT(Sheet1!A349," -",Sheet1!B349)</f>
        <v>M1347 -Movie_347</v>
      </c>
      <c r="G349" t="str">
        <f>LEFT(Sheet1!F349,3)</f>
        <v>Ger</v>
      </c>
      <c r="H349" t="str">
        <f>RIGHT(Sheet1!G349,2)</f>
        <v>05</v>
      </c>
      <c r="I349">
        <f>LEN(Sheet1!B349)</f>
        <v>9</v>
      </c>
      <c r="J349" t="str">
        <f>TRIM(Sheet1!C349)</f>
        <v>Sci-Fi</v>
      </c>
      <c r="K349" t="str">
        <f>VLOOKUP(Sheet1!A349,Sheet1!A349:I848,3,0)</f>
        <v>Sci-Fi</v>
      </c>
      <c r="L349">
        <f>VLOOKUP(Sheet1!B349,Sheet1!B349:I848,3,0)</f>
        <v>182</v>
      </c>
    </row>
    <row r="350" spans="5:12" x14ac:dyDescent="0.25">
      <c r="E350" t="str">
        <f>IF(Sheet1!D350&gt;120,"Long","Short")</f>
        <v>Long</v>
      </c>
      <c r="F350" t="str">
        <f>_xlfn.CONCAT(Sheet1!A350," -",Sheet1!B350)</f>
        <v>M1348 -Movie_348</v>
      </c>
      <c r="G350" t="str">
        <f>LEFT(Sheet1!F350,3)</f>
        <v>Fre</v>
      </c>
      <c r="H350" t="str">
        <f>RIGHT(Sheet1!G350,2)</f>
        <v>22</v>
      </c>
      <c r="I350">
        <f>LEN(Sheet1!B350)</f>
        <v>9</v>
      </c>
      <c r="J350" t="str">
        <f>TRIM(Sheet1!C350)</f>
        <v>Comedy</v>
      </c>
      <c r="K350" t="str">
        <f>VLOOKUP(Sheet1!A350,Sheet1!A350:I849,3,0)</f>
        <v>Comedy</v>
      </c>
      <c r="L350">
        <f>VLOOKUP(Sheet1!B350,Sheet1!B350:I849,3,0)</f>
        <v>172</v>
      </c>
    </row>
    <row r="351" spans="5:12" x14ac:dyDescent="0.25">
      <c r="E351" t="str">
        <f>IF(Sheet1!D351&gt;120,"Long","Short")</f>
        <v>Long</v>
      </c>
      <c r="F351" t="str">
        <f>_xlfn.CONCAT(Sheet1!A351," -",Sheet1!B351)</f>
        <v>M1349 -Movie_349</v>
      </c>
      <c r="G351" t="str">
        <f>LEFT(Sheet1!F351,3)</f>
        <v>Jap</v>
      </c>
      <c r="H351" t="str">
        <f>RIGHT(Sheet1!G351,2)</f>
        <v>86</v>
      </c>
      <c r="I351">
        <f>LEN(Sheet1!B351)</f>
        <v>9</v>
      </c>
      <c r="J351" t="str">
        <f>TRIM(Sheet1!C351)</f>
        <v>Action</v>
      </c>
      <c r="K351" t="str">
        <f>VLOOKUP(Sheet1!A351,Sheet1!A351:I850,3,0)</f>
        <v>Action</v>
      </c>
      <c r="L351">
        <f>VLOOKUP(Sheet1!B351,Sheet1!B351:I850,3,0)</f>
        <v>147</v>
      </c>
    </row>
    <row r="352" spans="5:12" x14ac:dyDescent="0.25">
      <c r="E352" t="str">
        <f>IF(Sheet1!D352&gt;120,"Long","Short")</f>
        <v>Short</v>
      </c>
      <c r="F352" t="str">
        <f>_xlfn.CONCAT(Sheet1!A352," -",Sheet1!B352)</f>
        <v>M1350 -Movie_350</v>
      </c>
      <c r="G352" t="str">
        <f>LEFT(Sheet1!F352,3)</f>
        <v>Fre</v>
      </c>
      <c r="H352" t="str">
        <f>RIGHT(Sheet1!G352,2)</f>
        <v>91</v>
      </c>
      <c r="I352">
        <f>LEN(Sheet1!B352)</f>
        <v>9</v>
      </c>
      <c r="J352" t="str">
        <f>TRIM(Sheet1!C352)</f>
        <v>Sci-Fi</v>
      </c>
      <c r="K352" t="str">
        <f>VLOOKUP(Sheet1!A352,Sheet1!A352:I851,3,0)</f>
        <v>Sci-Fi</v>
      </c>
      <c r="L352">
        <f>VLOOKUP(Sheet1!B352,Sheet1!B352:I851,3,0)</f>
        <v>107</v>
      </c>
    </row>
    <row r="353" spans="5:12" x14ac:dyDescent="0.25">
      <c r="E353" t="str">
        <f>IF(Sheet1!D353&gt;120,"Long","Short")</f>
        <v>Short</v>
      </c>
      <c r="F353" t="str">
        <f>_xlfn.CONCAT(Sheet1!A353," -",Sheet1!B353)</f>
        <v>M1351 -Movie_351</v>
      </c>
      <c r="G353" t="str">
        <f>LEFT(Sheet1!F353,3)</f>
        <v>Spa</v>
      </c>
      <c r="H353" t="str">
        <f>RIGHT(Sheet1!G353,2)</f>
        <v>88</v>
      </c>
      <c r="I353">
        <f>LEN(Sheet1!B353)</f>
        <v>9</v>
      </c>
      <c r="J353" t="str">
        <f>TRIM(Sheet1!C353)</f>
        <v>Action</v>
      </c>
      <c r="K353" t="str">
        <f>VLOOKUP(Sheet1!A353,Sheet1!A353:I852,3,0)</f>
        <v>Action</v>
      </c>
      <c r="L353">
        <f>VLOOKUP(Sheet1!B353,Sheet1!B353:I852,3,0)</f>
        <v>73</v>
      </c>
    </row>
    <row r="354" spans="5:12" x14ac:dyDescent="0.25">
      <c r="E354" t="str">
        <f>IF(Sheet1!D354&gt;120,"Long","Short")</f>
        <v>Long</v>
      </c>
      <c r="F354" t="str">
        <f>_xlfn.CONCAT(Sheet1!A354," -",Sheet1!B354)</f>
        <v>M1352 -Movie_352</v>
      </c>
      <c r="G354" t="str">
        <f>LEFT(Sheet1!F354,3)</f>
        <v>Eng</v>
      </c>
      <c r="H354" t="str">
        <f>RIGHT(Sheet1!G354,2)</f>
        <v>10</v>
      </c>
      <c r="I354">
        <f>LEN(Sheet1!B354)</f>
        <v>9</v>
      </c>
      <c r="J354" t="str">
        <f>TRIM(Sheet1!C354)</f>
        <v>Comedy</v>
      </c>
      <c r="K354" t="str">
        <f>VLOOKUP(Sheet1!A354,Sheet1!A354:I853,3,0)</f>
        <v>Comedy</v>
      </c>
      <c r="L354">
        <f>VLOOKUP(Sheet1!B354,Sheet1!B354:I853,3,0)</f>
        <v>124</v>
      </c>
    </row>
    <row r="355" spans="5:12" x14ac:dyDescent="0.25">
      <c r="E355" t="str">
        <f>IF(Sheet1!D355&gt;120,"Long","Short")</f>
        <v>Long</v>
      </c>
      <c r="F355" t="str">
        <f>_xlfn.CONCAT(Sheet1!A355," -",Sheet1!B355)</f>
        <v>M1353 -Movie_353</v>
      </c>
      <c r="G355" t="str">
        <f>LEFT(Sheet1!F355,3)</f>
        <v>Eng</v>
      </c>
      <c r="H355" t="str">
        <f>RIGHT(Sheet1!G355,2)</f>
        <v>00</v>
      </c>
      <c r="I355">
        <f>LEN(Sheet1!B355)</f>
        <v>9</v>
      </c>
      <c r="J355" t="str">
        <f>TRIM(Sheet1!C355)</f>
        <v>Action</v>
      </c>
      <c r="K355" t="str">
        <f>VLOOKUP(Sheet1!A355,Sheet1!A355:I854,3,0)</f>
        <v>Action</v>
      </c>
      <c r="L355">
        <f>VLOOKUP(Sheet1!B355,Sheet1!B355:I854,3,0)</f>
        <v>182</v>
      </c>
    </row>
    <row r="356" spans="5:12" x14ac:dyDescent="0.25">
      <c r="E356" t="str">
        <f>IF(Sheet1!D356&gt;120,"Long","Short")</f>
        <v>Short</v>
      </c>
      <c r="F356" t="str">
        <f>_xlfn.CONCAT(Sheet1!A356," -",Sheet1!B356)</f>
        <v>M1354 -Movie_354</v>
      </c>
      <c r="G356" t="str">
        <f>LEFT(Sheet1!F356,3)</f>
        <v>Jap</v>
      </c>
      <c r="H356" t="str">
        <f>RIGHT(Sheet1!G356,2)</f>
        <v>95</v>
      </c>
      <c r="I356">
        <f>LEN(Sheet1!B356)</f>
        <v>9</v>
      </c>
      <c r="J356" t="str">
        <f>TRIM(Sheet1!C356)</f>
        <v>Sci-Fi</v>
      </c>
      <c r="K356" t="str">
        <f>VLOOKUP(Sheet1!A356,Sheet1!A356:I855,3,0)</f>
        <v>Sci-Fi</v>
      </c>
      <c r="L356">
        <f>VLOOKUP(Sheet1!B356,Sheet1!B356:I855,3,0)</f>
        <v>89</v>
      </c>
    </row>
    <row r="357" spans="5:12" x14ac:dyDescent="0.25">
      <c r="E357" t="str">
        <f>IF(Sheet1!D357&gt;120,"Long","Short")</f>
        <v>Short</v>
      </c>
      <c r="F357" t="str">
        <f>_xlfn.CONCAT(Sheet1!A357," -",Sheet1!B357)</f>
        <v>M1355 -Movie_355</v>
      </c>
      <c r="G357" t="str">
        <f>LEFT(Sheet1!F357,3)</f>
        <v>Spa</v>
      </c>
      <c r="H357" t="str">
        <f>RIGHT(Sheet1!G357,2)</f>
        <v>80</v>
      </c>
      <c r="I357">
        <f>LEN(Sheet1!B357)</f>
        <v>9</v>
      </c>
      <c r="J357" t="str">
        <f>TRIM(Sheet1!C357)</f>
        <v>Action</v>
      </c>
      <c r="K357" t="str">
        <f>VLOOKUP(Sheet1!A357,Sheet1!A357:I856,3,0)</f>
        <v>Action</v>
      </c>
      <c r="L357">
        <f>VLOOKUP(Sheet1!B357,Sheet1!B357:I856,3,0)</f>
        <v>76</v>
      </c>
    </row>
    <row r="358" spans="5:12" x14ac:dyDescent="0.25">
      <c r="E358" t="str">
        <f>IF(Sheet1!D358&gt;120,"Long","Short")</f>
        <v>Long</v>
      </c>
      <c r="F358" t="str">
        <f>_xlfn.CONCAT(Sheet1!A358," -",Sheet1!B358)</f>
        <v>M1356 -Movie_356</v>
      </c>
      <c r="G358" t="str">
        <f>LEFT(Sheet1!F358,3)</f>
        <v>Ger</v>
      </c>
      <c r="H358" t="str">
        <f>RIGHT(Sheet1!G358,2)</f>
        <v>96</v>
      </c>
      <c r="I358">
        <f>LEN(Sheet1!B358)</f>
        <v>9</v>
      </c>
      <c r="J358" t="str">
        <f>TRIM(Sheet1!C358)</f>
        <v>Horror</v>
      </c>
      <c r="K358" t="str">
        <f>VLOOKUP(Sheet1!A358,Sheet1!A358:I857,3,0)</f>
        <v>Horror</v>
      </c>
      <c r="L358">
        <f>VLOOKUP(Sheet1!B358,Sheet1!B358:I857,3,0)</f>
        <v>162</v>
      </c>
    </row>
    <row r="359" spans="5:12" x14ac:dyDescent="0.25">
      <c r="E359" t="str">
        <f>IF(Sheet1!D359&gt;120,"Long","Short")</f>
        <v>Long</v>
      </c>
      <c r="F359" t="str">
        <f>_xlfn.CONCAT(Sheet1!A359," -",Sheet1!B359)</f>
        <v>M1357 -Movie_357</v>
      </c>
      <c r="G359" t="str">
        <f>LEFT(Sheet1!F359,3)</f>
        <v>Hin</v>
      </c>
      <c r="H359" t="str">
        <f>RIGHT(Sheet1!G359,2)</f>
        <v>04</v>
      </c>
      <c r="I359">
        <f>LEN(Sheet1!B359)</f>
        <v>9</v>
      </c>
      <c r="J359" t="str">
        <f>TRIM(Sheet1!C359)</f>
        <v>Comedy</v>
      </c>
      <c r="K359" t="str">
        <f>VLOOKUP(Sheet1!A359,Sheet1!A359:I858,3,0)</f>
        <v>Comedy</v>
      </c>
      <c r="L359">
        <f>VLOOKUP(Sheet1!B359,Sheet1!B359:I858,3,0)</f>
        <v>185</v>
      </c>
    </row>
    <row r="360" spans="5:12" x14ac:dyDescent="0.25">
      <c r="E360" t="str">
        <f>IF(Sheet1!D360&gt;120,"Long","Short")</f>
        <v>Short</v>
      </c>
      <c r="F360" t="str">
        <f>_xlfn.CONCAT(Sheet1!A360," -",Sheet1!B360)</f>
        <v>M1358 -Movie_358</v>
      </c>
      <c r="G360" t="str">
        <f>LEFT(Sheet1!F360,3)</f>
        <v>Ger</v>
      </c>
      <c r="H360" t="str">
        <f>RIGHT(Sheet1!G360,2)</f>
        <v>95</v>
      </c>
      <c r="I360">
        <f>LEN(Sheet1!B360)</f>
        <v>9</v>
      </c>
      <c r="J360" t="str">
        <f>TRIM(Sheet1!C360)</f>
        <v>Thriller</v>
      </c>
      <c r="K360" t="str">
        <f>VLOOKUP(Sheet1!A360,Sheet1!A360:I859,3,0)</f>
        <v>Thriller</v>
      </c>
      <c r="L360">
        <f>VLOOKUP(Sheet1!B360,Sheet1!B360:I859,3,0)</f>
        <v>78</v>
      </c>
    </row>
    <row r="361" spans="5:12" x14ac:dyDescent="0.25">
      <c r="E361" t="str">
        <f>IF(Sheet1!D361&gt;120,"Long","Short")</f>
        <v>Short</v>
      </c>
      <c r="F361" t="str">
        <f>_xlfn.CONCAT(Sheet1!A361," -",Sheet1!B361)</f>
        <v>M1359 -Movie_359</v>
      </c>
      <c r="G361" t="str">
        <f>LEFT(Sheet1!F361,3)</f>
        <v>Hin</v>
      </c>
      <c r="H361" t="str">
        <f>RIGHT(Sheet1!G361,2)</f>
        <v>08</v>
      </c>
      <c r="I361">
        <f>LEN(Sheet1!B361)</f>
        <v>9</v>
      </c>
      <c r="J361" t="str">
        <f>TRIM(Sheet1!C361)</f>
        <v>Action</v>
      </c>
      <c r="K361" t="str">
        <f>VLOOKUP(Sheet1!A361,Sheet1!A361:I860,3,0)</f>
        <v>Action</v>
      </c>
      <c r="L361">
        <f>VLOOKUP(Sheet1!B361,Sheet1!B361:I860,3,0)</f>
        <v>73</v>
      </c>
    </row>
    <row r="362" spans="5:12" x14ac:dyDescent="0.25">
      <c r="E362" t="str">
        <f>IF(Sheet1!D362&gt;120,"Long","Short")</f>
        <v>Short</v>
      </c>
      <c r="F362" t="str">
        <f>_xlfn.CONCAT(Sheet1!A362," -",Sheet1!B362)</f>
        <v>M1360 -Movie_360</v>
      </c>
      <c r="G362" t="str">
        <f>LEFT(Sheet1!F362,3)</f>
        <v>Eng</v>
      </c>
      <c r="H362" t="str">
        <f>RIGHT(Sheet1!G362,2)</f>
        <v>97</v>
      </c>
      <c r="I362">
        <f>LEN(Sheet1!B362)</f>
        <v>9</v>
      </c>
      <c r="J362" t="str">
        <f>TRIM(Sheet1!C362)</f>
        <v>Sci-Fi</v>
      </c>
      <c r="K362" t="str">
        <f>VLOOKUP(Sheet1!A362,Sheet1!A362:I861,3,0)</f>
        <v>Sci-Fi</v>
      </c>
      <c r="L362">
        <f>VLOOKUP(Sheet1!B362,Sheet1!B362:I861,3,0)</f>
        <v>98</v>
      </c>
    </row>
    <row r="363" spans="5:12" x14ac:dyDescent="0.25">
      <c r="E363" t="str">
        <f>IF(Sheet1!D363&gt;120,"Long","Short")</f>
        <v>Short</v>
      </c>
      <c r="F363" t="str">
        <f>_xlfn.CONCAT(Sheet1!A363," -",Sheet1!B363)</f>
        <v>M1361 -Movie_361</v>
      </c>
      <c r="G363" t="str">
        <f>LEFT(Sheet1!F363,3)</f>
        <v>Fre</v>
      </c>
      <c r="H363" t="str">
        <f>RIGHT(Sheet1!G363,2)</f>
        <v>01</v>
      </c>
      <c r="I363">
        <f>LEN(Sheet1!B363)</f>
        <v>9</v>
      </c>
      <c r="J363" t="str">
        <f>TRIM(Sheet1!C363)</f>
        <v>Comedy</v>
      </c>
      <c r="K363" t="str">
        <f>VLOOKUP(Sheet1!A363,Sheet1!A363:I862,3,0)</f>
        <v>Comedy</v>
      </c>
      <c r="L363">
        <f>VLOOKUP(Sheet1!B363,Sheet1!B363:I862,3,0)</f>
        <v>98</v>
      </c>
    </row>
    <row r="364" spans="5:12" x14ac:dyDescent="0.25">
      <c r="E364" t="str">
        <f>IF(Sheet1!D364&gt;120,"Long","Short")</f>
        <v>Long</v>
      </c>
      <c r="F364" t="str">
        <f>_xlfn.CONCAT(Sheet1!A364," -",Sheet1!B364)</f>
        <v>M1362 -Movie_362</v>
      </c>
      <c r="G364" t="str">
        <f>LEFT(Sheet1!F364,3)</f>
        <v>Fre</v>
      </c>
      <c r="H364" t="str">
        <f>RIGHT(Sheet1!G364,2)</f>
        <v>99</v>
      </c>
      <c r="I364">
        <f>LEN(Sheet1!B364)</f>
        <v>9</v>
      </c>
      <c r="J364" t="str">
        <f>TRIM(Sheet1!C364)</f>
        <v>Sci-Fi</v>
      </c>
      <c r="K364" t="str">
        <f>VLOOKUP(Sheet1!A364,Sheet1!A364:I863,3,0)</f>
        <v>Sci-Fi</v>
      </c>
      <c r="L364">
        <f>VLOOKUP(Sheet1!B364,Sheet1!B364:I863,3,0)</f>
        <v>137</v>
      </c>
    </row>
    <row r="365" spans="5:12" x14ac:dyDescent="0.25">
      <c r="E365" t="str">
        <f>IF(Sheet1!D365&gt;120,"Long","Short")</f>
        <v>Short</v>
      </c>
      <c r="F365" t="str">
        <f>_xlfn.CONCAT(Sheet1!A365," -",Sheet1!B365)</f>
        <v>M1363 -Movie_363</v>
      </c>
      <c r="G365" t="str">
        <f>LEFT(Sheet1!F365,3)</f>
        <v>Jap</v>
      </c>
      <c r="H365" t="str">
        <f>RIGHT(Sheet1!G365,2)</f>
        <v>17</v>
      </c>
      <c r="I365">
        <f>LEN(Sheet1!B365)</f>
        <v>9</v>
      </c>
      <c r="J365" t="str">
        <f>TRIM(Sheet1!C365)</f>
        <v>Sci-Fi</v>
      </c>
      <c r="K365" t="str">
        <f>VLOOKUP(Sheet1!A365,Sheet1!A365:I864,3,0)</f>
        <v>Sci-Fi</v>
      </c>
      <c r="L365">
        <f>VLOOKUP(Sheet1!B365,Sheet1!B365:I864,3,0)</f>
        <v>81</v>
      </c>
    </row>
    <row r="366" spans="5:12" x14ac:dyDescent="0.25">
      <c r="E366" t="str">
        <f>IF(Sheet1!D366&gt;120,"Long","Short")</f>
        <v>Long</v>
      </c>
      <c r="F366" t="str">
        <f>_xlfn.CONCAT(Sheet1!A366," -",Sheet1!B366)</f>
        <v>M1364 -Movie_364</v>
      </c>
      <c r="G366" t="str">
        <f>LEFT(Sheet1!F366,3)</f>
        <v>Ger</v>
      </c>
      <c r="H366" t="str">
        <f>RIGHT(Sheet1!G366,2)</f>
        <v>16</v>
      </c>
      <c r="I366">
        <f>LEN(Sheet1!B366)</f>
        <v>9</v>
      </c>
      <c r="J366" t="str">
        <f>TRIM(Sheet1!C366)</f>
        <v>Action</v>
      </c>
      <c r="K366" t="str">
        <f>VLOOKUP(Sheet1!A366,Sheet1!A366:I865,3,0)</f>
        <v>Action</v>
      </c>
      <c r="L366">
        <f>VLOOKUP(Sheet1!B366,Sheet1!B366:I865,3,0)</f>
        <v>123</v>
      </c>
    </row>
    <row r="367" spans="5:12" x14ac:dyDescent="0.25">
      <c r="E367" t="str">
        <f>IF(Sheet1!D367&gt;120,"Long","Short")</f>
        <v>Short</v>
      </c>
      <c r="F367" t="str">
        <f>_xlfn.CONCAT(Sheet1!A367," -",Sheet1!B367)</f>
        <v>M1365 -Movie_365</v>
      </c>
      <c r="G367" t="str">
        <f>LEFT(Sheet1!F367,3)</f>
        <v>Spa</v>
      </c>
      <c r="H367" t="str">
        <f>RIGHT(Sheet1!G367,2)</f>
        <v>80</v>
      </c>
      <c r="I367">
        <f>LEN(Sheet1!B367)</f>
        <v>9</v>
      </c>
      <c r="J367" t="str">
        <f>TRIM(Sheet1!C367)</f>
        <v>Sci-Fi</v>
      </c>
      <c r="K367" t="str">
        <f>VLOOKUP(Sheet1!A367,Sheet1!A367:I866,3,0)</f>
        <v>Sci-Fi</v>
      </c>
      <c r="L367">
        <f>VLOOKUP(Sheet1!B367,Sheet1!B367:I866,3,0)</f>
        <v>90</v>
      </c>
    </row>
    <row r="368" spans="5:12" x14ac:dyDescent="0.25">
      <c r="E368" t="str">
        <f>IF(Sheet1!D368&gt;120,"Long","Short")</f>
        <v>Long</v>
      </c>
      <c r="F368" t="str">
        <f>_xlfn.CONCAT(Sheet1!A368," -",Sheet1!B368)</f>
        <v>M1366 -Movie_366</v>
      </c>
      <c r="G368" t="str">
        <f>LEFT(Sheet1!F368,3)</f>
        <v>Hin</v>
      </c>
      <c r="H368" t="str">
        <f>RIGHT(Sheet1!G368,2)</f>
        <v>96</v>
      </c>
      <c r="I368">
        <f>LEN(Sheet1!B368)</f>
        <v>9</v>
      </c>
      <c r="J368" t="str">
        <f>TRIM(Sheet1!C368)</f>
        <v>Action</v>
      </c>
      <c r="K368" t="str">
        <f>VLOOKUP(Sheet1!A368,Sheet1!A368:I867,3,0)</f>
        <v>Action</v>
      </c>
      <c r="L368">
        <f>VLOOKUP(Sheet1!B368,Sheet1!B368:I867,3,0)</f>
        <v>166</v>
      </c>
    </row>
    <row r="369" spans="5:12" x14ac:dyDescent="0.25">
      <c r="E369" t="str">
        <f>IF(Sheet1!D369&gt;120,"Long","Short")</f>
        <v>Short</v>
      </c>
      <c r="F369" t="str">
        <f>_xlfn.CONCAT(Sheet1!A369," -",Sheet1!B369)</f>
        <v>M1367 -Movie_367</v>
      </c>
      <c r="G369" t="str">
        <f>LEFT(Sheet1!F369,3)</f>
        <v>Fre</v>
      </c>
      <c r="H369" t="str">
        <f>RIGHT(Sheet1!G369,2)</f>
        <v>21</v>
      </c>
      <c r="I369">
        <f>LEN(Sheet1!B369)</f>
        <v>9</v>
      </c>
      <c r="J369" t="str">
        <f>TRIM(Sheet1!C369)</f>
        <v>Thriller</v>
      </c>
      <c r="K369" t="str">
        <f>VLOOKUP(Sheet1!A369,Sheet1!A369:I868,3,0)</f>
        <v>Thriller</v>
      </c>
      <c r="L369">
        <f>VLOOKUP(Sheet1!B369,Sheet1!B369:I868,3,0)</f>
        <v>117</v>
      </c>
    </row>
    <row r="370" spans="5:12" x14ac:dyDescent="0.25">
      <c r="E370" t="str">
        <f>IF(Sheet1!D370&gt;120,"Long","Short")</f>
        <v>Long</v>
      </c>
      <c r="F370" t="str">
        <f>_xlfn.CONCAT(Sheet1!A370," -",Sheet1!B370)</f>
        <v>M1368 -Movie_368</v>
      </c>
      <c r="G370" t="str">
        <f>LEFT(Sheet1!F370,3)</f>
        <v>Jap</v>
      </c>
      <c r="H370" t="str">
        <f>RIGHT(Sheet1!G370,2)</f>
        <v>03</v>
      </c>
      <c r="I370">
        <f>LEN(Sheet1!B370)</f>
        <v>9</v>
      </c>
      <c r="J370" t="str">
        <f>TRIM(Sheet1!C370)</f>
        <v>Horror</v>
      </c>
      <c r="K370" t="str">
        <f>VLOOKUP(Sheet1!A370,Sheet1!A370:I869,3,0)</f>
        <v>Horror</v>
      </c>
      <c r="L370">
        <f>VLOOKUP(Sheet1!B370,Sheet1!B370:I869,3,0)</f>
        <v>193</v>
      </c>
    </row>
    <row r="371" spans="5:12" x14ac:dyDescent="0.25">
      <c r="E371" t="str">
        <f>IF(Sheet1!D371&gt;120,"Long","Short")</f>
        <v>Long</v>
      </c>
      <c r="F371" t="str">
        <f>_xlfn.CONCAT(Sheet1!A371," -",Sheet1!B371)</f>
        <v>M1369 -Movie_369</v>
      </c>
      <c r="G371" t="str">
        <f>LEFT(Sheet1!F371,3)</f>
        <v>Ger</v>
      </c>
      <c r="H371" t="str">
        <f>RIGHT(Sheet1!G371,2)</f>
        <v>24</v>
      </c>
      <c r="I371">
        <f>LEN(Sheet1!B371)</f>
        <v>9</v>
      </c>
      <c r="J371" t="str">
        <f>TRIM(Sheet1!C371)</f>
        <v>Sci-Fi</v>
      </c>
      <c r="K371" t="str">
        <f>VLOOKUP(Sheet1!A371,Sheet1!A371:I870,3,0)</f>
        <v>Sci-Fi</v>
      </c>
      <c r="L371">
        <f>VLOOKUP(Sheet1!B371,Sheet1!B371:I870,3,0)</f>
        <v>157</v>
      </c>
    </row>
    <row r="372" spans="5:12" x14ac:dyDescent="0.25">
      <c r="E372" t="str">
        <f>IF(Sheet1!D372&gt;120,"Long","Short")</f>
        <v>Long</v>
      </c>
      <c r="F372" t="str">
        <f>_xlfn.CONCAT(Sheet1!A372," -",Sheet1!B372)</f>
        <v>M1370 -Movie_370</v>
      </c>
      <c r="G372" t="str">
        <f>LEFT(Sheet1!F372,3)</f>
        <v>Spa</v>
      </c>
      <c r="H372" t="str">
        <f>RIGHT(Sheet1!G372,2)</f>
        <v>95</v>
      </c>
      <c r="I372">
        <f>LEN(Sheet1!B372)</f>
        <v>9</v>
      </c>
      <c r="J372" t="str">
        <f>TRIM(Sheet1!C372)</f>
        <v>Sci-Fi</v>
      </c>
      <c r="K372" t="str">
        <f>VLOOKUP(Sheet1!A372,Sheet1!A372:I871,3,0)</f>
        <v>Sci-Fi</v>
      </c>
      <c r="L372">
        <f>VLOOKUP(Sheet1!B372,Sheet1!B372:I871,3,0)</f>
        <v>175</v>
      </c>
    </row>
    <row r="373" spans="5:12" x14ac:dyDescent="0.25">
      <c r="E373" t="str">
        <f>IF(Sheet1!D373&gt;120,"Long","Short")</f>
        <v>Long</v>
      </c>
      <c r="F373" t="str">
        <f>_xlfn.CONCAT(Sheet1!A373," -",Sheet1!B373)</f>
        <v>M1371 -Movie_371</v>
      </c>
      <c r="G373" t="str">
        <f>LEFT(Sheet1!F373,3)</f>
        <v>Eng</v>
      </c>
      <c r="H373" t="str">
        <f>RIGHT(Sheet1!G373,2)</f>
        <v>83</v>
      </c>
      <c r="I373">
        <f>LEN(Sheet1!B373)</f>
        <v>9</v>
      </c>
      <c r="J373" t="str">
        <f>TRIM(Sheet1!C373)</f>
        <v>Sci-Fi</v>
      </c>
      <c r="K373" t="str">
        <f>VLOOKUP(Sheet1!A373,Sheet1!A373:I872,3,0)</f>
        <v>Sci-Fi</v>
      </c>
      <c r="L373">
        <f>VLOOKUP(Sheet1!B373,Sheet1!B373:I872,3,0)</f>
        <v>173</v>
      </c>
    </row>
    <row r="374" spans="5:12" x14ac:dyDescent="0.25">
      <c r="E374" t="str">
        <f>IF(Sheet1!D374&gt;120,"Long","Short")</f>
        <v>Long</v>
      </c>
      <c r="F374" t="str">
        <f>_xlfn.CONCAT(Sheet1!A374," -",Sheet1!B374)</f>
        <v>M1372 -Movie_372</v>
      </c>
      <c r="G374" t="str">
        <f>LEFT(Sheet1!F374,3)</f>
        <v>Spa</v>
      </c>
      <c r="H374" t="str">
        <f>RIGHT(Sheet1!G374,2)</f>
        <v>22</v>
      </c>
      <c r="I374">
        <f>LEN(Sheet1!B374)</f>
        <v>9</v>
      </c>
      <c r="J374" t="str">
        <f>TRIM(Sheet1!C374)</f>
        <v>Drama</v>
      </c>
      <c r="K374" t="str">
        <f>VLOOKUP(Sheet1!A374,Sheet1!A374:I873,3,0)</f>
        <v>Drama</v>
      </c>
      <c r="L374">
        <f>VLOOKUP(Sheet1!B374,Sheet1!B374:I873,3,0)</f>
        <v>136</v>
      </c>
    </row>
    <row r="375" spans="5:12" x14ac:dyDescent="0.25">
      <c r="E375" t="str">
        <f>IF(Sheet1!D375&gt;120,"Long","Short")</f>
        <v>Long</v>
      </c>
      <c r="F375" t="str">
        <f>_xlfn.CONCAT(Sheet1!A375," -",Sheet1!B375)</f>
        <v>M1373 -Movie_373</v>
      </c>
      <c r="G375" t="str">
        <f>LEFT(Sheet1!F375,3)</f>
        <v>Eng</v>
      </c>
      <c r="H375" t="str">
        <f>RIGHT(Sheet1!G375,2)</f>
        <v>87</v>
      </c>
      <c r="I375">
        <f>LEN(Sheet1!B375)</f>
        <v>9</v>
      </c>
      <c r="J375" t="str">
        <f>TRIM(Sheet1!C375)</f>
        <v>Drama</v>
      </c>
      <c r="K375" t="str">
        <f>VLOOKUP(Sheet1!A375,Sheet1!A375:I874,3,0)</f>
        <v>Drama</v>
      </c>
      <c r="L375">
        <f>VLOOKUP(Sheet1!B375,Sheet1!B375:I874,3,0)</f>
        <v>169</v>
      </c>
    </row>
    <row r="376" spans="5:12" x14ac:dyDescent="0.25">
      <c r="E376" t="str">
        <f>IF(Sheet1!D376&gt;120,"Long","Short")</f>
        <v>Long</v>
      </c>
      <c r="F376" t="str">
        <f>_xlfn.CONCAT(Sheet1!A376," -",Sheet1!B376)</f>
        <v>M1374 -Movie_374</v>
      </c>
      <c r="G376" t="str">
        <f>LEFT(Sheet1!F376,3)</f>
        <v>Ger</v>
      </c>
      <c r="H376" t="str">
        <f>RIGHT(Sheet1!G376,2)</f>
        <v>09</v>
      </c>
      <c r="I376">
        <f>LEN(Sheet1!B376)</f>
        <v>9</v>
      </c>
      <c r="J376" t="str">
        <f>TRIM(Sheet1!C376)</f>
        <v>Comedy</v>
      </c>
      <c r="K376" t="str">
        <f>VLOOKUP(Sheet1!A376,Sheet1!A376:I875,3,0)</f>
        <v>Comedy</v>
      </c>
      <c r="L376">
        <f>VLOOKUP(Sheet1!B376,Sheet1!B376:I875,3,0)</f>
        <v>138</v>
      </c>
    </row>
    <row r="377" spans="5:12" x14ac:dyDescent="0.25">
      <c r="E377" t="str">
        <f>IF(Sheet1!D377&gt;120,"Long","Short")</f>
        <v>Short</v>
      </c>
      <c r="F377" t="str">
        <f>_xlfn.CONCAT(Sheet1!A377," -",Sheet1!B377)</f>
        <v>M1375 -Movie_375</v>
      </c>
      <c r="G377" t="str">
        <f>LEFT(Sheet1!F377,3)</f>
        <v>Spa</v>
      </c>
      <c r="H377" t="str">
        <f>RIGHT(Sheet1!G377,2)</f>
        <v>99</v>
      </c>
      <c r="I377">
        <f>LEN(Sheet1!B377)</f>
        <v>9</v>
      </c>
      <c r="J377" t="str">
        <f>TRIM(Sheet1!C377)</f>
        <v>Horror</v>
      </c>
      <c r="K377" t="str">
        <f>VLOOKUP(Sheet1!A377,Sheet1!A377:I876,3,0)</f>
        <v>Horror</v>
      </c>
      <c r="L377">
        <f>VLOOKUP(Sheet1!B377,Sheet1!B377:I876,3,0)</f>
        <v>75</v>
      </c>
    </row>
    <row r="378" spans="5:12" x14ac:dyDescent="0.25">
      <c r="E378" t="str">
        <f>IF(Sheet1!D378&gt;120,"Long","Short")</f>
        <v>Short</v>
      </c>
      <c r="F378" t="str">
        <f>_xlfn.CONCAT(Sheet1!A378," -",Sheet1!B378)</f>
        <v>M1376 -Movie_376</v>
      </c>
      <c r="G378" t="str">
        <f>LEFT(Sheet1!F378,3)</f>
        <v>Jap</v>
      </c>
      <c r="H378" t="str">
        <f>RIGHT(Sheet1!G378,2)</f>
        <v>90</v>
      </c>
      <c r="I378">
        <f>LEN(Sheet1!B378)</f>
        <v>9</v>
      </c>
      <c r="J378" t="str">
        <f>TRIM(Sheet1!C378)</f>
        <v>Horror</v>
      </c>
      <c r="K378" t="str">
        <f>VLOOKUP(Sheet1!A378,Sheet1!A378:I877,3,0)</f>
        <v>Horror</v>
      </c>
      <c r="L378">
        <f>VLOOKUP(Sheet1!B378,Sheet1!B378:I877,3,0)</f>
        <v>85</v>
      </c>
    </row>
    <row r="379" spans="5:12" x14ac:dyDescent="0.25">
      <c r="E379" t="str">
        <f>IF(Sheet1!D379&gt;120,"Long","Short")</f>
        <v>Short</v>
      </c>
      <c r="F379" t="str">
        <f>_xlfn.CONCAT(Sheet1!A379," -",Sheet1!B379)</f>
        <v>M1377 -Movie_377</v>
      </c>
      <c r="G379" t="str">
        <f>LEFT(Sheet1!F379,3)</f>
        <v>Ger</v>
      </c>
      <c r="H379" t="str">
        <f>RIGHT(Sheet1!G379,2)</f>
        <v>05</v>
      </c>
      <c r="I379">
        <f>LEN(Sheet1!B379)</f>
        <v>9</v>
      </c>
      <c r="J379" t="str">
        <f>TRIM(Sheet1!C379)</f>
        <v>Drama</v>
      </c>
      <c r="K379" t="str">
        <f>VLOOKUP(Sheet1!A379,Sheet1!A379:I878,3,0)</f>
        <v>Drama</v>
      </c>
      <c r="L379">
        <f>VLOOKUP(Sheet1!B379,Sheet1!B379:I878,3,0)</f>
        <v>113</v>
      </c>
    </row>
    <row r="380" spans="5:12" x14ac:dyDescent="0.25">
      <c r="E380" t="str">
        <f>IF(Sheet1!D380&gt;120,"Long","Short")</f>
        <v>Short</v>
      </c>
      <c r="F380" t="str">
        <f>_xlfn.CONCAT(Sheet1!A380," -",Sheet1!B380)</f>
        <v>M1378 -Movie_378</v>
      </c>
      <c r="G380" t="str">
        <f>LEFT(Sheet1!F380,3)</f>
        <v>Eng</v>
      </c>
      <c r="H380" t="str">
        <f>RIGHT(Sheet1!G380,2)</f>
        <v>23</v>
      </c>
      <c r="I380">
        <f>LEN(Sheet1!B380)</f>
        <v>9</v>
      </c>
      <c r="J380" t="str">
        <f>TRIM(Sheet1!C380)</f>
        <v>Comedy</v>
      </c>
      <c r="K380" t="str">
        <f>VLOOKUP(Sheet1!A380,Sheet1!A380:I879,3,0)</f>
        <v>Comedy</v>
      </c>
      <c r="L380">
        <f>VLOOKUP(Sheet1!B380,Sheet1!B380:I879,3,0)</f>
        <v>114</v>
      </c>
    </row>
    <row r="381" spans="5:12" x14ac:dyDescent="0.25">
      <c r="E381" t="str">
        <f>IF(Sheet1!D381&gt;120,"Long","Short")</f>
        <v>Long</v>
      </c>
      <c r="F381" t="str">
        <f>_xlfn.CONCAT(Sheet1!A381," -",Sheet1!B381)</f>
        <v>M1379 -Movie_379</v>
      </c>
      <c r="G381" t="str">
        <f>LEFT(Sheet1!F381,3)</f>
        <v>Jap</v>
      </c>
      <c r="H381" t="str">
        <f>RIGHT(Sheet1!G381,2)</f>
        <v>12</v>
      </c>
      <c r="I381">
        <f>LEN(Sheet1!B381)</f>
        <v>9</v>
      </c>
      <c r="J381" t="str">
        <f>TRIM(Sheet1!C381)</f>
        <v>Drama</v>
      </c>
      <c r="K381" t="str">
        <f>VLOOKUP(Sheet1!A381,Sheet1!A381:I880,3,0)</f>
        <v>Drama</v>
      </c>
      <c r="L381">
        <f>VLOOKUP(Sheet1!B381,Sheet1!B381:I880,3,0)</f>
        <v>127</v>
      </c>
    </row>
    <row r="382" spans="5:12" x14ac:dyDescent="0.25">
      <c r="E382" t="str">
        <f>IF(Sheet1!D382&gt;120,"Long","Short")</f>
        <v>Short</v>
      </c>
      <c r="F382" t="str">
        <f>_xlfn.CONCAT(Sheet1!A382," -",Sheet1!B382)</f>
        <v>M1380 -Movie_380</v>
      </c>
      <c r="G382" t="str">
        <f>LEFT(Sheet1!F382,3)</f>
        <v>Fre</v>
      </c>
      <c r="H382" t="str">
        <f>RIGHT(Sheet1!G382,2)</f>
        <v>25</v>
      </c>
      <c r="I382">
        <f>LEN(Sheet1!B382)</f>
        <v>9</v>
      </c>
      <c r="J382" t="str">
        <f>TRIM(Sheet1!C382)</f>
        <v>Thriller</v>
      </c>
      <c r="K382" t="str">
        <f>VLOOKUP(Sheet1!A382,Sheet1!A382:I881,3,0)</f>
        <v>Thriller</v>
      </c>
      <c r="L382">
        <f>VLOOKUP(Sheet1!B382,Sheet1!B382:I881,3,0)</f>
        <v>80</v>
      </c>
    </row>
    <row r="383" spans="5:12" x14ac:dyDescent="0.25">
      <c r="E383" t="str">
        <f>IF(Sheet1!D383&gt;120,"Long","Short")</f>
        <v>Short</v>
      </c>
      <c r="F383" t="str">
        <f>_xlfn.CONCAT(Sheet1!A383," -",Sheet1!B383)</f>
        <v>M1381 -Movie_381</v>
      </c>
      <c r="G383" t="str">
        <f>LEFT(Sheet1!F383,3)</f>
        <v>Jap</v>
      </c>
      <c r="H383" t="str">
        <f>RIGHT(Sheet1!G383,2)</f>
        <v>99</v>
      </c>
      <c r="I383">
        <f>LEN(Sheet1!B383)</f>
        <v>9</v>
      </c>
      <c r="J383" t="str">
        <f>TRIM(Sheet1!C383)</f>
        <v>Comedy</v>
      </c>
      <c r="K383" t="str">
        <f>VLOOKUP(Sheet1!A383,Sheet1!A383:I882,3,0)</f>
        <v>Comedy</v>
      </c>
      <c r="L383">
        <f>VLOOKUP(Sheet1!B383,Sheet1!B383:I882,3,0)</f>
        <v>100</v>
      </c>
    </row>
    <row r="384" spans="5:12" x14ac:dyDescent="0.25">
      <c r="E384" t="str">
        <f>IF(Sheet1!D384&gt;120,"Long","Short")</f>
        <v>Long</v>
      </c>
      <c r="F384" t="str">
        <f>_xlfn.CONCAT(Sheet1!A384," -",Sheet1!B384)</f>
        <v>M1382 -Movie_382</v>
      </c>
      <c r="G384" t="str">
        <f>LEFT(Sheet1!F384,3)</f>
        <v>Fre</v>
      </c>
      <c r="H384" t="str">
        <f>RIGHT(Sheet1!G384,2)</f>
        <v>24</v>
      </c>
      <c r="I384">
        <f>LEN(Sheet1!B384)</f>
        <v>9</v>
      </c>
      <c r="J384" t="str">
        <f>TRIM(Sheet1!C384)</f>
        <v>Horror</v>
      </c>
      <c r="K384" t="str">
        <f>VLOOKUP(Sheet1!A384,Sheet1!A384:I883,3,0)</f>
        <v>Horror</v>
      </c>
      <c r="L384">
        <f>VLOOKUP(Sheet1!B384,Sheet1!B384:I883,3,0)</f>
        <v>121</v>
      </c>
    </row>
    <row r="385" spans="5:12" x14ac:dyDescent="0.25">
      <c r="E385" t="str">
        <f>IF(Sheet1!D385&gt;120,"Long","Short")</f>
        <v>Short</v>
      </c>
      <c r="F385" t="str">
        <f>_xlfn.CONCAT(Sheet1!A385," -",Sheet1!B385)</f>
        <v>M1383 -Movie_383</v>
      </c>
      <c r="G385" t="str">
        <f>LEFT(Sheet1!F385,3)</f>
        <v>Jap</v>
      </c>
      <c r="H385" t="str">
        <f>RIGHT(Sheet1!G385,2)</f>
        <v>87</v>
      </c>
      <c r="I385">
        <f>LEN(Sheet1!B385)</f>
        <v>9</v>
      </c>
      <c r="J385" t="str">
        <f>TRIM(Sheet1!C385)</f>
        <v>Horror</v>
      </c>
      <c r="K385" t="str">
        <f>VLOOKUP(Sheet1!A385,Sheet1!A385:I884,3,0)</f>
        <v>Horror</v>
      </c>
      <c r="L385">
        <f>VLOOKUP(Sheet1!B385,Sheet1!B385:I884,3,0)</f>
        <v>104</v>
      </c>
    </row>
    <row r="386" spans="5:12" x14ac:dyDescent="0.25">
      <c r="E386" t="str">
        <f>IF(Sheet1!D386&gt;120,"Long","Short")</f>
        <v>Short</v>
      </c>
      <c r="F386" t="str">
        <f>_xlfn.CONCAT(Sheet1!A386," -",Sheet1!B386)</f>
        <v>M1384 -Movie_384</v>
      </c>
      <c r="G386" t="str">
        <f>LEFT(Sheet1!F386,3)</f>
        <v>Eng</v>
      </c>
      <c r="H386" t="str">
        <f>RIGHT(Sheet1!G386,2)</f>
        <v>20</v>
      </c>
      <c r="I386">
        <f>LEN(Sheet1!B386)</f>
        <v>9</v>
      </c>
      <c r="J386" t="str">
        <f>TRIM(Sheet1!C386)</f>
        <v>Drama</v>
      </c>
      <c r="K386" t="str">
        <f>VLOOKUP(Sheet1!A386,Sheet1!A386:I885,3,0)</f>
        <v>Drama</v>
      </c>
      <c r="L386">
        <f>VLOOKUP(Sheet1!B386,Sheet1!B386:I885,3,0)</f>
        <v>79</v>
      </c>
    </row>
    <row r="387" spans="5:12" x14ac:dyDescent="0.25">
      <c r="E387" t="str">
        <f>IF(Sheet1!D387&gt;120,"Long","Short")</f>
        <v>Short</v>
      </c>
      <c r="F387" t="str">
        <f>_xlfn.CONCAT(Sheet1!A387," -",Sheet1!B387)</f>
        <v>M1385 -Movie_385</v>
      </c>
      <c r="G387" t="str">
        <f>LEFT(Sheet1!F387,3)</f>
        <v>Hin</v>
      </c>
      <c r="H387" t="str">
        <f>RIGHT(Sheet1!G387,2)</f>
        <v>98</v>
      </c>
      <c r="I387">
        <f>LEN(Sheet1!B387)</f>
        <v>9</v>
      </c>
      <c r="J387" t="str">
        <f>TRIM(Sheet1!C387)</f>
        <v>Thriller</v>
      </c>
      <c r="K387" t="str">
        <f>VLOOKUP(Sheet1!A387,Sheet1!A387:I886,3,0)</f>
        <v>Thriller</v>
      </c>
      <c r="L387">
        <f>VLOOKUP(Sheet1!B387,Sheet1!B387:I886,3,0)</f>
        <v>100</v>
      </c>
    </row>
    <row r="388" spans="5:12" x14ac:dyDescent="0.25">
      <c r="E388" t="str">
        <f>IF(Sheet1!D388&gt;120,"Long","Short")</f>
        <v>Short</v>
      </c>
      <c r="F388" t="str">
        <f>_xlfn.CONCAT(Sheet1!A388," -",Sheet1!B388)</f>
        <v>M1386 -Movie_386</v>
      </c>
      <c r="G388" t="str">
        <f>LEFT(Sheet1!F388,3)</f>
        <v>Hin</v>
      </c>
      <c r="H388" t="str">
        <f>RIGHT(Sheet1!G388,2)</f>
        <v>03</v>
      </c>
      <c r="I388">
        <f>LEN(Sheet1!B388)</f>
        <v>9</v>
      </c>
      <c r="J388" t="str">
        <f>TRIM(Sheet1!C388)</f>
        <v>Drama</v>
      </c>
      <c r="K388" t="str">
        <f>VLOOKUP(Sheet1!A388,Sheet1!A388:I887,3,0)</f>
        <v>Drama</v>
      </c>
      <c r="L388">
        <f>VLOOKUP(Sheet1!B388,Sheet1!B388:I887,3,0)</f>
        <v>60</v>
      </c>
    </row>
    <row r="389" spans="5:12" x14ac:dyDescent="0.25">
      <c r="E389" t="str">
        <f>IF(Sheet1!D389&gt;120,"Long","Short")</f>
        <v>Long</v>
      </c>
      <c r="F389" t="str">
        <f>_xlfn.CONCAT(Sheet1!A389," -",Sheet1!B389)</f>
        <v>M1387 -Movie_387</v>
      </c>
      <c r="G389" t="str">
        <f>LEFT(Sheet1!F389,3)</f>
        <v>Fre</v>
      </c>
      <c r="H389" t="str">
        <f>RIGHT(Sheet1!G389,2)</f>
        <v>19</v>
      </c>
      <c r="I389">
        <f>LEN(Sheet1!B389)</f>
        <v>9</v>
      </c>
      <c r="J389" t="str">
        <f>TRIM(Sheet1!C389)</f>
        <v>Action</v>
      </c>
      <c r="K389" t="str">
        <f>VLOOKUP(Sheet1!A389,Sheet1!A389:I888,3,0)</f>
        <v>Action</v>
      </c>
      <c r="L389">
        <f>VLOOKUP(Sheet1!B389,Sheet1!B389:I888,3,0)</f>
        <v>164</v>
      </c>
    </row>
    <row r="390" spans="5:12" x14ac:dyDescent="0.25">
      <c r="E390" t="str">
        <f>IF(Sheet1!D390&gt;120,"Long","Short")</f>
        <v>Long</v>
      </c>
      <c r="F390" t="str">
        <f>_xlfn.CONCAT(Sheet1!A390," -",Sheet1!B390)</f>
        <v>M1388 -Movie_388</v>
      </c>
      <c r="G390" t="str">
        <f>LEFT(Sheet1!F390,3)</f>
        <v>Fre</v>
      </c>
      <c r="H390" t="str">
        <f>RIGHT(Sheet1!G390,2)</f>
        <v>94</v>
      </c>
      <c r="I390">
        <f>LEN(Sheet1!B390)</f>
        <v>9</v>
      </c>
      <c r="J390" t="str">
        <f>TRIM(Sheet1!C390)</f>
        <v>Action</v>
      </c>
      <c r="K390" t="str">
        <f>VLOOKUP(Sheet1!A390,Sheet1!A390:I889,3,0)</f>
        <v>Action</v>
      </c>
      <c r="L390">
        <f>VLOOKUP(Sheet1!B390,Sheet1!B390:I889,3,0)</f>
        <v>175</v>
      </c>
    </row>
    <row r="391" spans="5:12" x14ac:dyDescent="0.25">
      <c r="E391" t="str">
        <f>IF(Sheet1!D391&gt;120,"Long","Short")</f>
        <v>Long</v>
      </c>
      <c r="F391" t="str">
        <f>_xlfn.CONCAT(Sheet1!A391," -",Sheet1!B391)</f>
        <v>M1389 -Movie_389</v>
      </c>
      <c r="G391" t="str">
        <f>LEFT(Sheet1!F391,3)</f>
        <v>Spa</v>
      </c>
      <c r="H391" t="str">
        <f>RIGHT(Sheet1!G391,2)</f>
        <v>94</v>
      </c>
      <c r="I391">
        <f>LEN(Sheet1!B391)</f>
        <v>9</v>
      </c>
      <c r="J391" t="str">
        <f>TRIM(Sheet1!C391)</f>
        <v>Thriller</v>
      </c>
      <c r="K391" t="str">
        <f>VLOOKUP(Sheet1!A391,Sheet1!A391:I890,3,0)</f>
        <v>Thriller</v>
      </c>
      <c r="L391">
        <f>VLOOKUP(Sheet1!B391,Sheet1!B391:I890,3,0)</f>
        <v>180</v>
      </c>
    </row>
    <row r="392" spans="5:12" x14ac:dyDescent="0.25">
      <c r="E392" t="str">
        <f>IF(Sheet1!D392&gt;120,"Long","Short")</f>
        <v>Long</v>
      </c>
      <c r="F392" t="str">
        <f>_xlfn.CONCAT(Sheet1!A392," -",Sheet1!B392)</f>
        <v>M1390 -Movie_390</v>
      </c>
      <c r="G392" t="str">
        <f>LEFT(Sheet1!F392,3)</f>
        <v>Jap</v>
      </c>
      <c r="H392" t="str">
        <f>RIGHT(Sheet1!G392,2)</f>
        <v>88</v>
      </c>
      <c r="I392">
        <f>LEN(Sheet1!B392)</f>
        <v>9</v>
      </c>
      <c r="J392" t="str">
        <f>TRIM(Sheet1!C392)</f>
        <v>Sci-Fi</v>
      </c>
      <c r="K392" t="str">
        <f>VLOOKUP(Sheet1!A392,Sheet1!A392:I891,3,0)</f>
        <v>Sci-Fi</v>
      </c>
      <c r="L392">
        <f>VLOOKUP(Sheet1!B392,Sheet1!B392:I891,3,0)</f>
        <v>134</v>
      </c>
    </row>
    <row r="393" spans="5:12" x14ac:dyDescent="0.25">
      <c r="E393" t="str">
        <f>IF(Sheet1!D393&gt;120,"Long","Short")</f>
        <v>Short</v>
      </c>
      <c r="F393" t="str">
        <f>_xlfn.CONCAT(Sheet1!A393," -",Sheet1!B393)</f>
        <v>M1391 -Movie_391</v>
      </c>
      <c r="G393" t="str">
        <f>LEFT(Sheet1!F393,3)</f>
        <v>Jap</v>
      </c>
      <c r="H393" t="str">
        <f>RIGHT(Sheet1!G393,2)</f>
        <v>10</v>
      </c>
      <c r="I393">
        <f>LEN(Sheet1!B393)</f>
        <v>9</v>
      </c>
      <c r="J393" t="str">
        <f>TRIM(Sheet1!C393)</f>
        <v>Sci-Fi</v>
      </c>
      <c r="K393" t="str">
        <f>VLOOKUP(Sheet1!A393,Sheet1!A393:I892,3,0)</f>
        <v>Sci-Fi</v>
      </c>
      <c r="L393">
        <f>VLOOKUP(Sheet1!B393,Sheet1!B393:I892,3,0)</f>
        <v>68</v>
      </c>
    </row>
    <row r="394" spans="5:12" x14ac:dyDescent="0.25">
      <c r="E394" t="str">
        <f>IF(Sheet1!D394&gt;120,"Long","Short")</f>
        <v>Short</v>
      </c>
      <c r="F394" t="str">
        <f>_xlfn.CONCAT(Sheet1!A394," -",Sheet1!B394)</f>
        <v>M1392 -Movie_392</v>
      </c>
      <c r="G394" t="str">
        <f>LEFT(Sheet1!F394,3)</f>
        <v>Jap</v>
      </c>
      <c r="H394" t="str">
        <f>RIGHT(Sheet1!G394,2)</f>
        <v>89</v>
      </c>
      <c r="I394">
        <f>LEN(Sheet1!B394)</f>
        <v>9</v>
      </c>
      <c r="J394" t="str">
        <f>TRIM(Sheet1!C394)</f>
        <v>Action</v>
      </c>
      <c r="K394" t="str">
        <f>VLOOKUP(Sheet1!A394,Sheet1!A394:I893,3,0)</f>
        <v>Action</v>
      </c>
      <c r="L394">
        <f>VLOOKUP(Sheet1!B394,Sheet1!B394:I893,3,0)</f>
        <v>119</v>
      </c>
    </row>
    <row r="395" spans="5:12" x14ac:dyDescent="0.25">
      <c r="E395" t="str">
        <f>IF(Sheet1!D395&gt;120,"Long","Short")</f>
        <v>Long</v>
      </c>
      <c r="F395" t="str">
        <f>_xlfn.CONCAT(Sheet1!A395," -",Sheet1!B395)</f>
        <v>M1393 -Movie_393</v>
      </c>
      <c r="G395" t="str">
        <f>LEFT(Sheet1!F395,3)</f>
        <v>Jap</v>
      </c>
      <c r="H395" t="str">
        <f>RIGHT(Sheet1!G395,2)</f>
        <v>09</v>
      </c>
      <c r="I395">
        <f>LEN(Sheet1!B395)</f>
        <v>9</v>
      </c>
      <c r="J395" t="str">
        <f>TRIM(Sheet1!C395)</f>
        <v>Action</v>
      </c>
      <c r="K395" t="str">
        <f>VLOOKUP(Sheet1!A395,Sheet1!A395:I894,3,0)</f>
        <v>Action</v>
      </c>
      <c r="L395">
        <f>VLOOKUP(Sheet1!B395,Sheet1!B395:I894,3,0)</f>
        <v>133</v>
      </c>
    </row>
    <row r="396" spans="5:12" x14ac:dyDescent="0.25">
      <c r="E396" t="str">
        <f>IF(Sheet1!D396&gt;120,"Long","Short")</f>
        <v>Long</v>
      </c>
      <c r="F396" t="str">
        <f>_xlfn.CONCAT(Sheet1!A396," -",Sheet1!B396)</f>
        <v>M1394 -Movie_394</v>
      </c>
      <c r="G396" t="str">
        <f>LEFT(Sheet1!F396,3)</f>
        <v>Spa</v>
      </c>
      <c r="H396" t="str">
        <f>RIGHT(Sheet1!G396,2)</f>
        <v>18</v>
      </c>
      <c r="I396">
        <f>LEN(Sheet1!B396)</f>
        <v>9</v>
      </c>
      <c r="J396" t="str">
        <f>TRIM(Sheet1!C396)</f>
        <v>Sci-Fi</v>
      </c>
      <c r="K396" t="str">
        <f>VLOOKUP(Sheet1!A396,Sheet1!A396:I895,3,0)</f>
        <v>Sci-Fi</v>
      </c>
      <c r="L396">
        <f>VLOOKUP(Sheet1!B396,Sheet1!B396:I895,3,0)</f>
        <v>132</v>
      </c>
    </row>
    <row r="397" spans="5:12" x14ac:dyDescent="0.25">
      <c r="E397" t="str">
        <f>IF(Sheet1!D397&gt;120,"Long","Short")</f>
        <v>Long</v>
      </c>
      <c r="F397" t="str">
        <f>_xlfn.CONCAT(Sheet1!A397," -",Sheet1!B397)</f>
        <v>M1395 -Movie_395</v>
      </c>
      <c r="G397" t="str">
        <f>LEFT(Sheet1!F397,3)</f>
        <v>Fre</v>
      </c>
      <c r="H397" t="str">
        <f>RIGHT(Sheet1!G397,2)</f>
        <v>03</v>
      </c>
      <c r="I397">
        <f>LEN(Sheet1!B397)</f>
        <v>9</v>
      </c>
      <c r="J397" t="str">
        <f>TRIM(Sheet1!C397)</f>
        <v>Comedy</v>
      </c>
      <c r="K397" t="str">
        <f>VLOOKUP(Sheet1!A397,Sheet1!A397:I896,3,0)</f>
        <v>Comedy</v>
      </c>
      <c r="L397">
        <f>VLOOKUP(Sheet1!B397,Sheet1!B397:I896,3,0)</f>
        <v>176</v>
      </c>
    </row>
    <row r="398" spans="5:12" x14ac:dyDescent="0.25">
      <c r="E398" t="str">
        <f>IF(Sheet1!D398&gt;120,"Long","Short")</f>
        <v>Short</v>
      </c>
      <c r="F398" t="str">
        <f>_xlfn.CONCAT(Sheet1!A398," -",Sheet1!B398)</f>
        <v>M1396 -Movie_396</v>
      </c>
      <c r="G398" t="str">
        <f>LEFT(Sheet1!F398,3)</f>
        <v>Hin</v>
      </c>
      <c r="H398" t="str">
        <f>RIGHT(Sheet1!G398,2)</f>
        <v>06</v>
      </c>
      <c r="I398">
        <f>LEN(Sheet1!B398)</f>
        <v>9</v>
      </c>
      <c r="J398" t="str">
        <f>TRIM(Sheet1!C398)</f>
        <v>Sci-Fi</v>
      </c>
      <c r="K398" t="str">
        <f>VLOOKUP(Sheet1!A398,Sheet1!A398:I897,3,0)</f>
        <v>Sci-Fi</v>
      </c>
      <c r="L398">
        <f>VLOOKUP(Sheet1!B398,Sheet1!B398:I897,3,0)</f>
        <v>78</v>
      </c>
    </row>
    <row r="399" spans="5:12" x14ac:dyDescent="0.25">
      <c r="E399" t="str">
        <f>IF(Sheet1!D399&gt;120,"Long","Short")</f>
        <v>Short</v>
      </c>
      <c r="F399" t="str">
        <f>_xlfn.CONCAT(Sheet1!A399," -",Sheet1!B399)</f>
        <v>M1397 -Movie_397</v>
      </c>
      <c r="G399" t="str">
        <f>LEFT(Sheet1!F399,3)</f>
        <v>Spa</v>
      </c>
      <c r="H399" t="str">
        <f>RIGHT(Sheet1!G399,2)</f>
        <v>24</v>
      </c>
      <c r="I399">
        <f>LEN(Sheet1!B399)</f>
        <v>9</v>
      </c>
      <c r="J399" t="str">
        <f>TRIM(Sheet1!C399)</f>
        <v>Drama</v>
      </c>
      <c r="K399" t="str">
        <f>VLOOKUP(Sheet1!A399,Sheet1!A399:I898,3,0)</f>
        <v>Drama</v>
      </c>
      <c r="L399">
        <f>VLOOKUP(Sheet1!B399,Sheet1!B399:I898,3,0)</f>
        <v>119</v>
      </c>
    </row>
    <row r="400" spans="5:12" x14ac:dyDescent="0.25">
      <c r="E400" t="str">
        <f>IF(Sheet1!D400&gt;120,"Long","Short")</f>
        <v>Long</v>
      </c>
      <c r="F400" t="str">
        <f>_xlfn.CONCAT(Sheet1!A400," -",Sheet1!B400)</f>
        <v>M1398 -Movie_398</v>
      </c>
      <c r="G400" t="str">
        <f>LEFT(Sheet1!F400,3)</f>
        <v>Eng</v>
      </c>
      <c r="H400" t="str">
        <f>RIGHT(Sheet1!G400,2)</f>
        <v>15</v>
      </c>
      <c r="I400">
        <f>LEN(Sheet1!B400)</f>
        <v>9</v>
      </c>
      <c r="J400" t="str">
        <f>TRIM(Sheet1!C400)</f>
        <v>Comedy</v>
      </c>
      <c r="K400" t="str">
        <f>VLOOKUP(Sheet1!A400,Sheet1!A400:I899,3,0)</f>
        <v>Comedy</v>
      </c>
      <c r="L400">
        <f>VLOOKUP(Sheet1!B400,Sheet1!B400:I899,3,0)</f>
        <v>127</v>
      </c>
    </row>
    <row r="401" spans="5:12" x14ac:dyDescent="0.25">
      <c r="E401" t="str">
        <f>IF(Sheet1!D401&gt;120,"Long","Short")</f>
        <v>Short</v>
      </c>
      <c r="F401" t="str">
        <f>_xlfn.CONCAT(Sheet1!A401," -",Sheet1!B401)</f>
        <v>M1399 -Movie_399</v>
      </c>
      <c r="G401" t="str">
        <f>LEFT(Sheet1!F401,3)</f>
        <v>Spa</v>
      </c>
      <c r="H401" t="str">
        <f>RIGHT(Sheet1!G401,2)</f>
        <v>10</v>
      </c>
      <c r="I401">
        <f>LEN(Sheet1!B401)</f>
        <v>9</v>
      </c>
      <c r="J401" t="str">
        <f>TRIM(Sheet1!C401)</f>
        <v>Drama</v>
      </c>
      <c r="K401" t="str">
        <f>VLOOKUP(Sheet1!A401,Sheet1!A401:I900,3,0)</f>
        <v>Drama</v>
      </c>
      <c r="L401">
        <f>VLOOKUP(Sheet1!B401,Sheet1!B401:I900,3,0)</f>
        <v>110</v>
      </c>
    </row>
    <row r="402" spans="5:12" x14ac:dyDescent="0.25">
      <c r="E402" t="str">
        <f>IF(Sheet1!D402&gt;120,"Long","Short")</f>
        <v>Long</v>
      </c>
      <c r="F402" t="str">
        <f>_xlfn.CONCAT(Sheet1!A402," -",Sheet1!B402)</f>
        <v>M1400 -Movie_400</v>
      </c>
      <c r="G402" t="str">
        <f>LEFT(Sheet1!F402,3)</f>
        <v>Spa</v>
      </c>
      <c r="H402" t="str">
        <f>RIGHT(Sheet1!G402,2)</f>
        <v>14</v>
      </c>
      <c r="I402">
        <f>LEN(Sheet1!B402)</f>
        <v>9</v>
      </c>
      <c r="J402" t="str">
        <f>TRIM(Sheet1!C402)</f>
        <v>Action</v>
      </c>
      <c r="K402" t="str">
        <f>VLOOKUP(Sheet1!A402,Sheet1!A402:I901,3,0)</f>
        <v>Action</v>
      </c>
      <c r="L402">
        <f>VLOOKUP(Sheet1!B402,Sheet1!B402:I901,3,0)</f>
        <v>168</v>
      </c>
    </row>
    <row r="403" spans="5:12" x14ac:dyDescent="0.25">
      <c r="E403" t="str">
        <f>IF(Sheet1!D403&gt;120,"Long","Short")</f>
        <v>Short</v>
      </c>
      <c r="F403" t="str">
        <f>_xlfn.CONCAT(Sheet1!A403," -",Sheet1!B403)</f>
        <v>M1401 -Movie_401</v>
      </c>
      <c r="G403" t="str">
        <f>LEFT(Sheet1!F403,3)</f>
        <v>Spa</v>
      </c>
      <c r="H403" t="str">
        <f>RIGHT(Sheet1!G403,2)</f>
        <v>22</v>
      </c>
      <c r="I403">
        <f>LEN(Sheet1!B403)</f>
        <v>9</v>
      </c>
      <c r="J403" t="str">
        <f>TRIM(Sheet1!C403)</f>
        <v>Comedy</v>
      </c>
      <c r="K403" t="str">
        <f>VLOOKUP(Sheet1!A403,Sheet1!A403:I902,3,0)</f>
        <v>Comedy</v>
      </c>
      <c r="L403">
        <f>VLOOKUP(Sheet1!B403,Sheet1!B403:I902,3,0)</f>
        <v>89</v>
      </c>
    </row>
    <row r="404" spans="5:12" x14ac:dyDescent="0.25">
      <c r="E404" t="str">
        <f>IF(Sheet1!D404&gt;120,"Long","Short")</f>
        <v>Long</v>
      </c>
      <c r="F404" t="str">
        <f>_xlfn.CONCAT(Sheet1!A404," -",Sheet1!B404)</f>
        <v>M1402 -Movie_402</v>
      </c>
      <c r="G404" t="str">
        <f>LEFT(Sheet1!F404,3)</f>
        <v>Ger</v>
      </c>
      <c r="H404" t="str">
        <f>RIGHT(Sheet1!G404,2)</f>
        <v>93</v>
      </c>
      <c r="I404">
        <f>LEN(Sheet1!B404)</f>
        <v>9</v>
      </c>
      <c r="J404" t="str">
        <f>TRIM(Sheet1!C404)</f>
        <v>Drama</v>
      </c>
      <c r="K404" t="str">
        <f>VLOOKUP(Sheet1!A404,Sheet1!A404:I903,3,0)</f>
        <v>Drama</v>
      </c>
      <c r="L404">
        <f>VLOOKUP(Sheet1!B404,Sheet1!B404:I903,3,0)</f>
        <v>199</v>
      </c>
    </row>
    <row r="405" spans="5:12" x14ac:dyDescent="0.25">
      <c r="E405" t="str">
        <f>IF(Sheet1!D405&gt;120,"Long","Short")</f>
        <v>Short</v>
      </c>
      <c r="F405" t="str">
        <f>_xlfn.CONCAT(Sheet1!A405," -",Sheet1!B405)</f>
        <v>M1403 -Movie_403</v>
      </c>
      <c r="G405" t="str">
        <f>LEFT(Sheet1!F405,3)</f>
        <v>Eng</v>
      </c>
      <c r="H405" t="str">
        <f>RIGHT(Sheet1!G405,2)</f>
        <v>95</v>
      </c>
      <c r="I405">
        <f>LEN(Sheet1!B405)</f>
        <v>9</v>
      </c>
      <c r="J405" t="str">
        <f>TRIM(Sheet1!C405)</f>
        <v>Drama</v>
      </c>
      <c r="K405" t="str">
        <f>VLOOKUP(Sheet1!A405,Sheet1!A405:I904,3,0)</f>
        <v>Drama</v>
      </c>
      <c r="L405">
        <f>VLOOKUP(Sheet1!B405,Sheet1!B405:I904,3,0)</f>
        <v>117</v>
      </c>
    </row>
    <row r="406" spans="5:12" x14ac:dyDescent="0.25">
      <c r="E406" t="str">
        <f>IF(Sheet1!D406&gt;120,"Long","Short")</f>
        <v>Short</v>
      </c>
      <c r="F406" t="str">
        <f>_xlfn.CONCAT(Sheet1!A406," -",Sheet1!B406)</f>
        <v>M1404 -Movie_404</v>
      </c>
      <c r="G406" t="str">
        <f>LEFT(Sheet1!F406,3)</f>
        <v>Fre</v>
      </c>
      <c r="H406" t="str">
        <f>RIGHT(Sheet1!G406,2)</f>
        <v>23</v>
      </c>
      <c r="I406">
        <f>LEN(Sheet1!B406)</f>
        <v>9</v>
      </c>
      <c r="J406" t="str">
        <f>TRIM(Sheet1!C406)</f>
        <v>Comedy</v>
      </c>
      <c r="K406" t="str">
        <f>VLOOKUP(Sheet1!A406,Sheet1!A406:I905,3,0)</f>
        <v>Comedy</v>
      </c>
      <c r="L406">
        <f>VLOOKUP(Sheet1!B406,Sheet1!B406:I905,3,0)</f>
        <v>98</v>
      </c>
    </row>
    <row r="407" spans="5:12" x14ac:dyDescent="0.25">
      <c r="E407" t="str">
        <f>IF(Sheet1!D407&gt;120,"Long","Short")</f>
        <v>Long</v>
      </c>
      <c r="F407" t="str">
        <f>_xlfn.CONCAT(Sheet1!A407," -",Sheet1!B407)</f>
        <v>M1405 -Movie_405</v>
      </c>
      <c r="G407" t="str">
        <f>LEFT(Sheet1!F407,3)</f>
        <v>Hin</v>
      </c>
      <c r="H407" t="str">
        <f>RIGHT(Sheet1!G407,2)</f>
        <v>18</v>
      </c>
      <c r="I407">
        <f>LEN(Sheet1!B407)</f>
        <v>9</v>
      </c>
      <c r="J407" t="str">
        <f>TRIM(Sheet1!C407)</f>
        <v>Thriller</v>
      </c>
      <c r="K407" t="str">
        <f>VLOOKUP(Sheet1!A407,Sheet1!A407:I906,3,0)</f>
        <v>Thriller</v>
      </c>
      <c r="L407">
        <f>VLOOKUP(Sheet1!B407,Sheet1!B407:I906,3,0)</f>
        <v>128</v>
      </c>
    </row>
    <row r="408" spans="5:12" x14ac:dyDescent="0.25">
      <c r="E408" t="str">
        <f>IF(Sheet1!D408&gt;120,"Long","Short")</f>
        <v>Short</v>
      </c>
      <c r="F408" t="str">
        <f>_xlfn.CONCAT(Sheet1!A408," -",Sheet1!B408)</f>
        <v>M1406 -Movie_406</v>
      </c>
      <c r="G408" t="str">
        <f>LEFT(Sheet1!F408,3)</f>
        <v>Hin</v>
      </c>
      <c r="H408" t="str">
        <f>RIGHT(Sheet1!G408,2)</f>
        <v>85</v>
      </c>
      <c r="I408">
        <f>LEN(Sheet1!B408)</f>
        <v>9</v>
      </c>
      <c r="J408" t="str">
        <f>TRIM(Sheet1!C408)</f>
        <v>Sci-Fi</v>
      </c>
      <c r="K408" t="str">
        <f>VLOOKUP(Sheet1!A408,Sheet1!A408:I907,3,0)</f>
        <v>Sci-Fi</v>
      </c>
      <c r="L408">
        <f>VLOOKUP(Sheet1!B408,Sheet1!B408:I907,3,0)</f>
        <v>96</v>
      </c>
    </row>
    <row r="409" spans="5:12" x14ac:dyDescent="0.25">
      <c r="E409" t="str">
        <f>IF(Sheet1!D409&gt;120,"Long","Short")</f>
        <v>Short</v>
      </c>
      <c r="F409" t="str">
        <f>_xlfn.CONCAT(Sheet1!A409," -",Sheet1!B409)</f>
        <v>M1407 -Movie_407</v>
      </c>
      <c r="G409" t="str">
        <f>LEFT(Sheet1!F409,3)</f>
        <v>Fre</v>
      </c>
      <c r="H409" t="str">
        <f>RIGHT(Sheet1!G409,2)</f>
        <v>13</v>
      </c>
      <c r="I409">
        <f>LEN(Sheet1!B409)</f>
        <v>9</v>
      </c>
      <c r="J409" t="str">
        <f>TRIM(Sheet1!C409)</f>
        <v>Horror</v>
      </c>
      <c r="K409" t="str">
        <f>VLOOKUP(Sheet1!A409,Sheet1!A409:I908,3,0)</f>
        <v>Horror</v>
      </c>
      <c r="L409">
        <f>VLOOKUP(Sheet1!B409,Sheet1!B409:I908,3,0)</f>
        <v>78</v>
      </c>
    </row>
    <row r="410" spans="5:12" x14ac:dyDescent="0.25">
      <c r="E410" t="str">
        <f>IF(Sheet1!D410&gt;120,"Long","Short")</f>
        <v>Short</v>
      </c>
      <c r="F410" t="str">
        <f>_xlfn.CONCAT(Sheet1!A410," -",Sheet1!B410)</f>
        <v>M1408 -Movie_408</v>
      </c>
      <c r="G410" t="str">
        <f>LEFT(Sheet1!F410,3)</f>
        <v>Ger</v>
      </c>
      <c r="H410" t="str">
        <f>RIGHT(Sheet1!G410,2)</f>
        <v>08</v>
      </c>
      <c r="I410">
        <f>LEN(Sheet1!B410)</f>
        <v>9</v>
      </c>
      <c r="J410" t="str">
        <f>TRIM(Sheet1!C410)</f>
        <v>Drama</v>
      </c>
      <c r="K410" t="str">
        <f>VLOOKUP(Sheet1!A410,Sheet1!A410:I909,3,0)</f>
        <v>Drama</v>
      </c>
      <c r="L410">
        <f>VLOOKUP(Sheet1!B410,Sheet1!B410:I909,3,0)</f>
        <v>75</v>
      </c>
    </row>
    <row r="411" spans="5:12" x14ac:dyDescent="0.25">
      <c r="E411" t="str">
        <f>IF(Sheet1!D411&gt;120,"Long","Short")</f>
        <v>Short</v>
      </c>
      <c r="F411" t="str">
        <f>_xlfn.CONCAT(Sheet1!A411," -",Sheet1!B411)</f>
        <v>M1409 -Movie_409</v>
      </c>
      <c r="G411" t="str">
        <f>LEFT(Sheet1!F411,3)</f>
        <v>Hin</v>
      </c>
      <c r="H411" t="str">
        <f>RIGHT(Sheet1!G411,2)</f>
        <v>13</v>
      </c>
      <c r="I411">
        <f>LEN(Sheet1!B411)</f>
        <v>9</v>
      </c>
      <c r="J411" t="str">
        <f>TRIM(Sheet1!C411)</f>
        <v>Sci-Fi</v>
      </c>
      <c r="K411" t="str">
        <f>VLOOKUP(Sheet1!A411,Sheet1!A411:I910,3,0)</f>
        <v>Sci-Fi</v>
      </c>
      <c r="L411">
        <f>VLOOKUP(Sheet1!B411,Sheet1!B411:I910,3,0)</f>
        <v>102</v>
      </c>
    </row>
    <row r="412" spans="5:12" x14ac:dyDescent="0.25">
      <c r="E412" t="str">
        <f>IF(Sheet1!D412&gt;120,"Long","Short")</f>
        <v>Long</v>
      </c>
      <c r="F412" t="str">
        <f>_xlfn.CONCAT(Sheet1!A412," -",Sheet1!B412)</f>
        <v>M1410 -Movie_410</v>
      </c>
      <c r="G412" t="str">
        <f>LEFT(Sheet1!F412,3)</f>
        <v>Spa</v>
      </c>
      <c r="H412" t="str">
        <f>RIGHT(Sheet1!G412,2)</f>
        <v>25</v>
      </c>
      <c r="I412">
        <f>LEN(Sheet1!B412)</f>
        <v>9</v>
      </c>
      <c r="J412" t="str">
        <f>TRIM(Sheet1!C412)</f>
        <v>Horror</v>
      </c>
      <c r="K412" t="str">
        <f>VLOOKUP(Sheet1!A412,Sheet1!A412:I911,3,0)</f>
        <v>Horror</v>
      </c>
      <c r="L412">
        <f>VLOOKUP(Sheet1!B412,Sheet1!B412:I911,3,0)</f>
        <v>138</v>
      </c>
    </row>
    <row r="413" spans="5:12" x14ac:dyDescent="0.25">
      <c r="E413" t="str">
        <f>IF(Sheet1!D413&gt;120,"Long","Short")</f>
        <v>Long</v>
      </c>
      <c r="F413" t="str">
        <f>_xlfn.CONCAT(Sheet1!A413," -",Sheet1!B413)</f>
        <v>M1411 -Movie_411</v>
      </c>
      <c r="G413" t="str">
        <f>LEFT(Sheet1!F413,3)</f>
        <v>Hin</v>
      </c>
      <c r="H413" t="str">
        <f>RIGHT(Sheet1!G413,2)</f>
        <v>03</v>
      </c>
      <c r="I413">
        <f>LEN(Sheet1!B413)</f>
        <v>9</v>
      </c>
      <c r="J413" t="str">
        <f>TRIM(Sheet1!C413)</f>
        <v>Sci-Fi</v>
      </c>
      <c r="K413" t="str">
        <f>VLOOKUP(Sheet1!A413,Sheet1!A413:I912,3,0)</f>
        <v>Sci-Fi</v>
      </c>
      <c r="L413">
        <f>VLOOKUP(Sheet1!B413,Sheet1!B413:I912,3,0)</f>
        <v>133</v>
      </c>
    </row>
    <row r="414" spans="5:12" x14ac:dyDescent="0.25">
      <c r="E414" t="str">
        <f>IF(Sheet1!D414&gt;120,"Long","Short")</f>
        <v>Long</v>
      </c>
      <c r="F414" t="str">
        <f>_xlfn.CONCAT(Sheet1!A414," -",Sheet1!B414)</f>
        <v>M1412 -Movie_412</v>
      </c>
      <c r="G414" t="str">
        <f>LEFT(Sheet1!F414,3)</f>
        <v>Eng</v>
      </c>
      <c r="H414" t="str">
        <f>RIGHT(Sheet1!G414,2)</f>
        <v>84</v>
      </c>
      <c r="I414">
        <f>LEN(Sheet1!B414)</f>
        <v>9</v>
      </c>
      <c r="J414" t="str">
        <f>TRIM(Sheet1!C414)</f>
        <v>Action</v>
      </c>
      <c r="K414" t="str">
        <f>VLOOKUP(Sheet1!A414,Sheet1!A414:I913,3,0)</f>
        <v>Action</v>
      </c>
      <c r="L414">
        <f>VLOOKUP(Sheet1!B414,Sheet1!B414:I913,3,0)</f>
        <v>172</v>
      </c>
    </row>
    <row r="415" spans="5:12" x14ac:dyDescent="0.25">
      <c r="E415" t="str">
        <f>IF(Sheet1!D415&gt;120,"Long","Short")</f>
        <v>Short</v>
      </c>
      <c r="F415" t="str">
        <f>_xlfn.CONCAT(Sheet1!A415," -",Sheet1!B415)</f>
        <v>M1413 -Movie_413</v>
      </c>
      <c r="G415" t="str">
        <f>LEFT(Sheet1!F415,3)</f>
        <v>Eng</v>
      </c>
      <c r="H415" t="str">
        <f>RIGHT(Sheet1!G415,2)</f>
        <v>16</v>
      </c>
      <c r="I415">
        <f>LEN(Sheet1!B415)</f>
        <v>9</v>
      </c>
      <c r="J415" t="str">
        <f>TRIM(Sheet1!C415)</f>
        <v>Horror</v>
      </c>
      <c r="K415" t="str">
        <f>VLOOKUP(Sheet1!A415,Sheet1!A415:I914,3,0)</f>
        <v>Horror</v>
      </c>
      <c r="L415">
        <f>VLOOKUP(Sheet1!B415,Sheet1!B415:I914,3,0)</f>
        <v>91</v>
      </c>
    </row>
    <row r="416" spans="5:12" x14ac:dyDescent="0.25">
      <c r="E416" t="str">
        <f>IF(Sheet1!D416&gt;120,"Long","Short")</f>
        <v>Long</v>
      </c>
      <c r="F416" t="str">
        <f>_xlfn.CONCAT(Sheet1!A416," -",Sheet1!B416)</f>
        <v>M1414 -Movie_414</v>
      </c>
      <c r="G416" t="str">
        <f>LEFT(Sheet1!F416,3)</f>
        <v>Fre</v>
      </c>
      <c r="H416" t="str">
        <f>RIGHT(Sheet1!G416,2)</f>
        <v>87</v>
      </c>
      <c r="I416">
        <f>LEN(Sheet1!B416)</f>
        <v>9</v>
      </c>
      <c r="J416" t="str">
        <f>TRIM(Sheet1!C416)</f>
        <v>Sci-Fi</v>
      </c>
      <c r="K416" t="str">
        <f>VLOOKUP(Sheet1!A416,Sheet1!A416:I915,3,0)</f>
        <v>Sci-Fi</v>
      </c>
      <c r="L416">
        <f>VLOOKUP(Sheet1!B416,Sheet1!B416:I915,3,0)</f>
        <v>179</v>
      </c>
    </row>
    <row r="417" spans="5:12" x14ac:dyDescent="0.25">
      <c r="E417" t="str">
        <f>IF(Sheet1!D417&gt;120,"Long","Short")</f>
        <v>Long</v>
      </c>
      <c r="F417" t="str">
        <f>_xlfn.CONCAT(Sheet1!A417," -",Sheet1!B417)</f>
        <v>M1415 -Movie_415</v>
      </c>
      <c r="G417" t="str">
        <f>LEFT(Sheet1!F417,3)</f>
        <v>Ger</v>
      </c>
      <c r="H417" t="str">
        <f>RIGHT(Sheet1!G417,2)</f>
        <v>83</v>
      </c>
      <c r="I417">
        <f>LEN(Sheet1!B417)</f>
        <v>9</v>
      </c>
      <c r="J417" t="str">
        <f>TRIM(Sheet1!C417)</f>
        <v>Drama</v>
      </c>
      <c r="K417" t="str">
        <f>VLOOKUP(Sheet1!A417,Sheet1!A417:I916,3,0)</f>
        <v>Drama</v>
      </c>
      <c r="L417">
        <f>VLOOKUP(Sheet1!B417,Sheet1!B417:I916,3,0)</f>
        <v>137</v>
      </c>
    </row>
    <row r="418" spans="5:12" x14ac:dyDescent="0.25">
      <c r="E418" t="str">
        <f>IF(Sheet1!D418&gt;120,"Long","Short")</f>
        <v>Long</v>
      </c>
      <c r="F418" t="str">
        <f>_xlfn.CONCAT(Sheet1!A418," -",Sheet1!B418)</f>
        <v>M1416 -Movie_416</v>
      </c>
      <c r="G418" t="str">
        <f>LEFT(Sheet1!F418,3)</f>
        <v>Jap</v>
      </c>
      <c r="H418" t="str">
        <f>RIGHT(Sheet1!G418,2)</f>
        <v>15</v>
      </c>
      <c r="I418">
        <f>LEN(Sheet1!B418)</f>
        <v>9</v>
      </c>
      <c r="J418" t="str">
        <f>TRIM(Sheet1!C418)</f>
        <v>Horror</v>
      </c>
      <c r="K418" t="str">
        <f>VLOOKUP(Sheet1!A418,Sheet1!A418:I917,3,0)</f>
        <v>Horror</v>
      </c>
      <c r="L418">
        <f>VLOOKUP(Sheet1!B418,Sheet1!B418:I917,3,0)</f>
        <v>163</v>
      </c>
    </row>
    <row r="419" spans="5:12" x14ac:dyDescent="0.25">
      <c r="E419" t="str">
        <f>IF(Sheet1!D419&gt;120,"Long","Short")</f>
        <v>Long</v>
      </c>
      <c r="F419" t="str">
        <f>_xlfn.CONCAT(Sheet1!A419," -",Sheet1!B419)</f>
        <v>M1417 -Movie_417</v>
      </c>
      <c r="G419" t="str">
        <f>LEFT(Sheet1!F419,3)</f>
        <v>Jap</v>
      </c>
      <c r="H419" t="str">
        <f>RIGHT(Sheet1!G419,2)</f>
        <v>12</v>
      </c>
      <c r="I419">
        <f>LEN(Sheet1!B419)</f>
        <v>9</v>
      </c>
      <c r="J419" t="str">
        <f>TRIM(Sheet1!C419)</f>
        <v>Action</v>
      </c>
      <c r="K419" t="str">
        <f>VLOOKUP(Sheet1!A419,Sheet1!A419:I918,3,0)</f>
        <v>Action</v>
      </c>
      <c r="L419">
        <f>VLOOKUP(Sheet1!B419,Sheet1!B419:I918,3,0)</f>
        <v>129</v>
      </c>
    </row>
    <row r="420" spans="5:12" x14ac:dyDescent="0.25">
      <c r="E420" t="str">
        <f>IF(Sheet1!D420&gt;120,"Long","Short")</f>
        <v>Long</v>
      </c>
      <c r="F420" t="str">
        <f>_xlfn.CONCAT(Sheet1!A420," -",Sheet1!B420)</f>
        <v>M1418 -Movie_418</v>
      </c>
      <c r="G420" t="str">
        <f>LEFT(Sheet1!F420,3)</f>
        <v>Ger</v>
      </c>
      <c r="H420" t="str">
        <f>RIGHT(Sheet1!G420,2)</f>
        <v>92</v>
      </c>
      <c r="I420">
        <f>LEN(Sheet1!B420)</f>
        <v>9</v>
      </c>
      <c r="J420" t="str">
        <f>TRIM(Sheet1!C420)</f>
        <v>Comedy</v>
      </c>
      <c r="K420" t="str">
        <f>VLOOKUP(Sheet1!A420,Sheet1!A420:I919,3,0)</f>
        <v>Comedy</v>
      </c>
      <c r="L420">
        <f>VLOOKUP(Sheet1!B420,Sheet1!B420:I919,3,0)</f>
        <v>188</v>
      </c>
    </row>
    <row r="421" spans="5:12" x14ac:dyDescent="0.25">
      <c r="E421" t="str">
        <f>IF(Sheet1!D421&gt;120,"Long","Short")</f>
        <v>Long</v>
      </c>
      <c r="F421" t="str">
        <f>_xlfn.CONCAT(Sheet1!A421," -",Sheet1!B421)</f>
        <v>M1419 -Movie_419</v>
      </c>
      <c r="G421" t="str">
        <f>LEFT(Sheet1!F421,3)</f>
        <v>Hin</v>
      </c>
      <c r="H421" t="str">
        <f>RIGHT(Sheet1!G421,2)</f>
        <v>16</v>
      </c>
      <c r="I421">
        <f>LEN(Sheet1!B421)</f>
        <v>9</v>
      </c>
      <c r="J421" t="str">
        <f>TRIM(Sheet1!C421)</f>
        <v>Drama</v>
      </c>
      <c r="K421" t="str">
        <f>VLOOKUP(Sheet1!A421,Sheet1!A421:I920,3,0)</f>
        <v>Drama</v>
      </c>
      <c r="L421">
        <f>VLOOKUP(Sheet1!B421,Sheet1!B421:I920,3,0)</f>
        <v>198</v>
      </c>
    </row>
    <row r="422" spans="5:12" x14ac:dyDescent="0.25">
      <c r="E422" t="str">
        <f>IF(Sheet1!D422&gt;120,"Long","Short")</f>
        <v>Long</v>
      </c>
      <c r="F422" t="str">
        <f>_xlfn.CONCAT(Sheet1!A422," -",Sheet1!B422)</f>
        <v>M1420 -Movie_420</v>
      </c>
      <c r="G422" t="str">
        <f>LEFT(Sheet1!F422,3)</f>
        <v>Ger</v>
      </c>
      <c r="H422" t="str">
        <f>RIGHT(Sheet1!G422,2)</f>
        <v>14</v>
      </c>
      <c r="I422">
        <f>LEN(Sheet1!B422)</f>
        <v>9</v>
      </c>
      <c r="J422" t="str">
        <f>TRIM(Sheet1!C422)</f>
        <v>Action</v>
      </c>
      <c r="K422" t="str">
        <f>VLOOKUP(Sheet1!A422,Sheet1!A422:I921,3,0)</f>
        <v>Action</v>
      </c>
      <c r="L422">
        <f>VLOOKUP(Sheet1!B422,Sheet1!B422:I921,3,0)</f>
        <v>186</v>
      </c>
    </row>
    <row r="423" spans="5:12" x14ac:dyDescent="0.25">
      <c r="E423" t="str">
        <f>IF(Sheet1!D423&gt;120,"Long","Short")</f>
        <v>Long</v>
      </c>
      <c r="F423" t="str">
        <f>_xlfn.CONCAT(Sheet1!A423," -",Sheet1!B423)</f>
        <v>M1421 -Movie_421</v>
      </c>
      <c r="G423" t="str">
        <f>LEFT(Sheet1!F423,3)</f>
        <v>Ger</v>
      </c>
      <c r="H423" t="str">
        <f>RIGHT(Sheet1!G423,2)</f>
        <v>89</v>
      </c>
      <c r="I423">
        <f>LEN(Sheet1!B423)</f>
        <v>9</v>
      </c>
      <c r="J423" t="str">
        <f>TRIM(Sheet1!C423)</f>
        <v>Action</v>
      </c>
      <c r="K423" t="str">
        <f>VLOOKUP(Sheet1!A423,Sheet1!A423:I922,3,0)</f>
        <v>Action</v>
      </c>
      <c r="L423">
        <f>VLOOKUP(Sheet1!B423,Sheet1!B423:I922,3,0)</f>
        <v>172</v>
      </c>
    </row>
    <row r="424" spans="5:12" x14ac:dyDescent="0.25">
      <c r="E424" t="str">
        <f>IF(Sheet1!D424&gt;120,"Long","Short")</f>
        <v>Short</v>
      </c>
      <c r="F424" t="str">
        <f>_xlfn.CONCAT(Sheet1!A424," -",Sheet1!B424)</f>
        <v>M1422 -Movie_422</v>
      </c>
      <c r="G424" t="str">
        <f>LEFT(Sheet1!F424,3)</f>
        <v>Hin</v>
      </c>
      <c r="H424" t="str">
        <f>RIGHT(Sheet1!G424,2)</f>
        <v>90</v>
      </c>
      <c r="I424">
        <f>LEN(Sheet1!B424)</f>
        <v>9</v>
      </c>
      <c r="J424" t="str">
        <f>TRIM(Sheet1!C424)</f>
        <v>Horror</v>
      </c>
      <c r="K424" t="str">
        <f>VLOOKUP(Sheet1!A424,Sheet1!A424:I923,3,0)</f>
        <v>Horror</v>
      </c>
      <c r="L424">
        <f>VLOOKUP(Sheet1!B424,Sheet1!B424:I923,3,0)</f>
        <v>80</v>
      </c>
    </row>
    <row r="425" spans="5:12" x14ac:dyDescent="0.25">
      <c r="E425" t="str">
        <f>IF(Sheet1!D425&gt;120,"Long","Short")</f>
        <v>Short</v>
      </c>
      <c r="F425" t="str">
        <f>_xlfn.CONCAT(Sheet1!A425," -",Sheet1!B425)</f>
        <v>M1423 -Movie_423</v>
      </c>
      <c r="G425" t="str">
        <f>LEFT(Sheet1!F425,3)</f>
        <v>Eng</v>
      </c>
      <c r="H425" t="str">
        <f>RIGHT(Sheet1!G425,2)</f>
        <v>00</v>
      </c>
      <c r="I425">
        <f>LEN(Sheet1!B425)</f>
        <v>9</v>
      </c>
      <c r="J425" t="str">
        <f>TRIM(Sheet1!C425)</f>
        <v>Sci-Fi</v>
      </c>
      <c r="K425" t="str">
        <f>VLOOKUP(Sheet1!A425,Sheet1!A425:I924,3,0)</f>
        <v>Sci-Fi</v>
      </c>
      <c r="L425">
        <f>VLOOKUP(Sheet1!B425,Sheet1!B425:I924,3,0)</f>
        <v>70</v>
      </c>
    </row>
    <row r="426" spans="5:12" x14ac:dyDescent="0.25">
      <c r="E426" t="str">
        <f>IF(Sheet1!D426&gt;120,"Long","Short")</f>
        <v>Long</v>
      </c>
      <c r="F426" t="str">
        <f>_xlfn.CONCAT(Sheet1!A426," -",Sheet1!B426)</f>
        <v>M1424 -Movie_424</v>
      </c>
      <c r="G426" t="str">
        <f>LEFT(Sheet1!F426,3)</f>
        <v>Spa</v>
      </c>
      <c r="H426" t="str">
        <f>RIGHT(Sheet1!G426,2)</f>
        <v>13</v>
      </c>
      <c r="I426">
        <f>LEN(Sheet1!B426)</f>
        <v>9</v>
      </c>
      <c r="J426" t="str">
        <f>TRIM(Sheet1!C426)</f>
        <v>Comedy</v>
      </c>
      <c r="K426" t="str">
        <f>VLOOKUP(Sheet1!A426,Sheet1!A426:I925,3,0)</f>
        <v>Comedy</v>
      </c>
      <c r="L426">
        <f>VLOOKUP(Sheet1!B426,Sheet1!B426:I925,3,0)</f>
        <v>170</v>
      </c>
    </row>
    <row r="427" spans="5:12" x14ac:dyDescent="0.25">
      <c r="E427" t="str">
        <f>IF(Sheet1!D427&gt;120,"Long","Short")</f>
        <v>Long</v>
      </c>
      <c r="F427" t="str">
        <f>_xlfn.CONCAT(Sheet1!A427," -",Sheet1!B427)</f>
        <v>M1425 -Movie_425</v>
      </c>
      <c r="G427" t="str">
        <f>LEFT(Sheet1!F427,3)</f>
        <v>Fre</v>
      </c>
      <c r="H427" t="str">
        <f>RIGHT(Sheet1!G427,2)</f>
        <v>08</v>
      </c>
      <c r="I427">
        <f>LEN(Sheet1!B427)</f>
        <v>9</v>
      </c>
      <c r="J427" t="str">
        <f>TRIM(Sheet1!C427)</f>
        <v>Drama</v>
      </c>
      <c r="K427" t="str">
        <f>VLOOKUP(Sheet1!A427,Sheet1!A427:I926,3,0)</f>
        <v>Drama</v>
      </c>
      <c r="L427">
        <f>VLOOKUP(Sheet1!B427,Sheet1!B427:I926,3,0)</f>
        <v>142</v>
      </c>
    </row>
    <row r="428" spans="5:12" x14ac:dyDescent="0.25">
      <c r="E428" t="str">
        <f>IF(Sheet1!D428&gt;120,"Long","Short")</f>
        <v>Long</v>
      </c>
      <c r="F428" t="str">
        <f>_xlfn.CONCAT(Sheet1!A428," -",Sheet1!B428)</f>
        <v>M1426 -Movie_426</v>
      </c>
      <c r="G428" t="str">
        <f>LEFT(Sheet1!F428,3)</f>
        <v>Jap</v>
      </c>
      <c r="H428" t="str">
        <f>RIGHT(Sheet1!G428,2)</f>
        <v>87</v>
      </c>
      <c r="I428">
        <f>LEN(Sheet1!B428)</f>
        <v>9</v>
      </c>
      <c r="J428" t="str">
        <f>TRIM(Sheet1!C428)</f>
        <v>Drama</v>
      </c>
      <c r="K428" t="str">
        <f>VLOOKUP(Sheet1!A428,Sheet1!A428:I927,3,0)</f>
        <v>Drama</v>
      </c>
      <c r="L428">
        <f>VLOOKUP(Sheet1!B428,Sheet1!B428:I927,3,0)</f>
        <v>124</v>
      </c>
    </row>
    <row r="429" spans="5:12" x14ac:dyDescent="0.25">
      <c r="E429" t="str">
        <f>IF(Sheet1!D429&gt;120,"Long","Short")</f>
        <v>Short</v>
      </c>
      <c r="F429" t="str">
        <f>_xlfn.CONCAT(Sheet1!A429," -",Sheet1!B429)</f>
        <v>M1427 -Movie_427</v>
      </c>
      <c r="G429" t="str">
        <f>LEFT(Sheet1!F429,3)</f>
        <v>Eng</v>
      </c>
      <c r="H429" t="str">
        <f>RIGHT(Sheet1!G429,2)</f>
        <v>23</v>
      </c>
      <c r="I429">
        <f>LEN(Sheet1!B429)</f>
        <v>9</v>
      </c>
      <c r="J429" t="str">
        <f>TRIM(Sheet1!C429)</f>
        <v>Sci-Fi</v>
      </c>
      <c r="K429" t="str">
        <f>VLOOKUP(Sheet1!A429,Sheet1!A429:I928,3,0)</f>
        <v>Sci-Fi</v>
      </c>
      <c r="L429">
        <f>VLOOKUP(Sheet1!B429,Sheet1!B429:I928,3,0)</f>
        <v>66</v>
      </c>
    </row>
    <row r="430" spans="5:12" x14ac:dyDescent="0.25">
      <c r="E430" t="str">
        <f>IF(Sheet1!D430&gt;120,"Long","Short")</f>
        <v>Short</v>
      </c>
      <c r="F430" t="str">
        <f>_xlfn.CONCAT(Sheet1!A430," -",Sheet1!B430)</f>
        <v>M1428 -Movie_428</v>
      </c>
      <c r="G430" t="str">
        <f>LEFT(Sheet1!F430,3)</f>
        <v>Ger</v>
      </c>
      <c r="H430" t="str">
        <f>RIGHT(Sheet1!G430,2)</f>
        <v>93</v>
      </c>
      <c r="I430">
        <f>LEN(Sheet1!B430)</f>
        <v>9</v>
      </c>
      <c r="J430" t="str">
        <f>TRIM(Sheet1!C430)</f>
        <v>Comedy</v>
      </c>
      <c r="K430" t="str">
        <f>VLOOKUP(Sheet1!A430,Sheet1!A430:I929,3,0)</f>
        <v>Comedy</v>
      </c>
      <c r="L430">
        <f>VLOOKUP(Sheet1!B430,Sheet1!B430:I929,3,0)</f>
        <v>83</v>
      </c>
    </row>
    <row r="431" spans="5:12" x14ac:dyDescent="0.25">
      <c r="E431" t="str">
        <f>IF(Sheet1!D431&gt;120,"Long","Short")</f>
        <v>Short</v>
      </c>
      <c r="F431" t="str">
        <f>_xlfn.CONCAT(Sheet1!A431," -",Sheet1!B431)</f>
        <v>M1429 -Movie_429</v>
      </c>
      <c r="G431" t="str">
        <f>LEFT(Sheet1!F431,3)</f>
        <v>Ger</v>
      </c>
      <c r="H431" t="str">
        <f>RIGHT(Sheet1!G431,2)</f>
        <v>25</v>
      </c>
      <c r="I431">
        <f>LEN(Sheet1!B431)</f>
        <v>9</v>
      </c>
      <c r="J431" t="str">
        <f>TRIM(Sheet1!C431)</f>
        <v>Horror</v>
      </c>
      <c r="K431" t="str">
        <f>VLOOKUP(Sheet1!A431,Sheet1!A431:I930,3,0)</f>
        <v>Horror</v>
      </c>
      <c r="L431">
        <f>VLOOKUP(Sheet1!B431,Sheet1!B431:I930,3,0)</f>
        <v>118</v>
      </c>
    </row>
    <row r="432" spans="5:12" x14ac:dyDescent="0.25">
      <c r="E432" t="str">
        <f>IF(Sheet1!D432&gt;120,"Long","Short")</f>
        <v>Short</v>
      </c>
      <c r="F432" t="str">
        <f>_xlfn.CONCAT(Sheet1!A432," -",Sheet1!B432)</f>
        <v>M1430 -Movie_430</v>
      </c>
      <c r="G432" t="str">
        <f>LEFT(Sheet1!F432,3)</f>
        <v>Jap</v>
      </c>
      <c r="H432" t="str">
        <f>RIGHT(Sheet1!G432,2)</f>
        <v>17</v>
      </c>
      <c r="I432">
        <f>LEN(Sheet1!B432)</f>
        <v>9</v>
      </c>
      <c r="J432" t="str">
        <f>TRIM(Sheet1!C432)</f>
        <v>Drama</v>
      </c>
      <c r="K432" t="str">
        <f>VLOOKUP(Sheet1!A432,Sheet1!A432:I931,3,0)</f>
        <v>Drama</v>
      </c>
      <c r="L432">
        <f>VLOOKUP(Sheet1!B432,Sheet1!B432:I931,3,0)</f>
        <v>65</v>
      </c>
    </row>
    <row r="433" spans="5:12" x14ac:dyDescent="0.25">
      <c r="E433" t="str">
        <f>IF(Sheet1!D433&gt;120,"Long","Short")</f>
        <v>Long</v>
      </c>
      <c r="F433" t="str">
        <f>_xlfn.CONCAT(Sheet1!A433," -",Sheet1!B433)</f>
        <v>M1431 -Movie_431</v>
      </c>
      <c r="G433" t="str">
        <f>LEFT(Sheet1!F433,3)</f>
        <v>Hin</v>
      </c>
      <c r="H433" t="str">
        <f>RIGHT(Sheet1!G433,2)</f>
        <v>11</v>
      </c>
      <c r="I433">
        <f>LEN(Sheet1!B433)</f>
        <v>9</v>
      </c>
      <c r="J433" t="str">
        <f>TRIM(Sheet1!C433)</f>
        <v>Comedy</v>
      </c>
      <c r="K433" t="str">
        <f>VLOOKUP(Sheet1!A433,Sheet1!A433:I932,3,0)</f>
        <v>Comedy</v>
      </c>
      <c r="L433">
        <f>VLOOKUP(Sheet1!B433,Sheet1!B433:I932,3,0)</f>
        <v>128</v>
      </c>
    </row>
    <row r="434" spans="5:12" x14ac:dyDescent="0.25">
      <c r="E434" t="str">
        <f>IF(Sheet1!D434&gt;120,"Long","Short")</f>
        <v>Short</v>
      </c>
      <c r="F434" t="str">
        <f>_xlfn.CONCAT(Sheet1!A434," -",Sheet1!B434)</f>
        <v>M1432 -Movie_432</v>
      </c>
      <c r="G434" t="str">
        <f>LEFT(Sheet1!F434,3)</f>
        <v>Fre</v>
      </c>
      <c r="H434" t="str">
        <f>RIGHT(Sheet1!G434,2)</f>
        <v>85</v>
      </c>
      <c r="I434">
        <f>LEN(Sheet1!B434)</f>
        <v>9</v>
      </c>
      <c r="J434" t="str">
        <f>TRIM(Sheet1!C434)</f>
        <v>Horror</v>
      </c>
      <c r="K434" t="str">
        <f>VLOOKUP(Sheet1!A434,Sheet1!A434:I933,3,0)</f>
        <v>Horror</v>
      </c>
      <c r="L434">
        <f>VLOOKUP(Sheet1!B434,Sheet1!B434:I933,3,0)</f>
        <v>70</v>
      </c>
    </row>
    <row r="435" spans="5:12" x14ac:dyDescent="0.25">
      <c r="E435" t="str">
        <f>IF(Sheet1!D435&gt;120,"Long","Short")</f>
        <v>Short</v>
      </c>
      <c r="F435" t="str">
        <f>_xlfn.CONCAT(Sheet1!A435," -",Sheet1!B435)</f>
        <v>M1433 -Movie_433</v>
      </c>
      <c r="G435" t="str">
        <f>LEFT(Sheet1!F435,3)</f>
        <v>Spa</v>
      </c>
      <c r="H435" t="str">
        <f>RIGHT(Sheet1!G435,2)</f>
        <v>12</v>
      </c>
      <c r="I435">
        <f>LEN(Sheet1!B435)</f>
        <v>9</v>
      </c>
      <c r="J435" t="str">
        <f>TRIM(Sheet1!C435)</f>
        <v>Horror</v>
      </c>
      <c r="K435" t="str">
        <f>VLOOKUP(Sheet1!A435,Sheet1!A435:I934,3,0)</f>
        <v>Horror</v>
      </c>
      <c r="L435">
        <f>VLOOKUP(Sheet1!B435,Sheet1!B435:I934,3,0)</f>
        <v>104</v>
      </c>
    </row>
    <row r="436" spans="5:12" x14ac:dyDescent="0.25">
      <c r="E436" t="str">
        <f>IF(Sheet1!D436&gt;120,"Long","Short")</f>
        <v>Long</v>
      </c>
      <c r="F436" t="str">
        <f>_xlfn.CONCAT(Sheet1!A436," -",Sheet1!B436)</f>
        <v>M1434 -Movie_434</v>
      </c>
      <c r="G436" t="str">
        <f>LEFT(Sheet1!F436,3)</f>
        <v>Hin</v>
      </c>
      <c r="H436" t="str">
        <f>RIGHT(Sheet1!G436,2)</f>
        <v>08</v>
      </c>
      <c r="I436">
        <f>LEN(Sheet1!B436)</f>
        <v>9</v>
      </c>
      <c r="J436" t="str">
        <f>TRIM(Sheet1!C436)</f>
        <v>Drama</v>
      </c>
      <c r="K436" t="str">
        <f>VLOOKUP(Sheet1!A436,Sheet1!A436:I935,3,0)</f>
        <v>Drama</v>
      </c>
      <c r="L436">
        <f>VLOOKUP(Sheet1!B436,Sheet1!B436:I935,3,0)</f>
        <v>180</v>
      </c>
    </row>
    <row r="437" spans="5:12" x14ac:dyDescent="0.25">
      <c r="E437" t="str">
        <f>IF(Sheet1!D437&gt;120,"Long","Short")</f>
        <v>Long</v>
      </c>
      <c r="F437" t="str">
        <f>_xlfn.CONCAT(Sheet1!A437," -",Sheet1!B437)</f>
        <v>M1435 -Movie_435</v>
      </c>
      <c r="G437" t="str">
        <f>LEFT(Sheet1!F437,3)</f>
        <v>Jap</v>
      </c>
      <c r="H437" t="str">
        <f>RIGHT(Sheet1!G437,2)</f>
        <v>83</v>
      </c>
      <c r="I437">
        <f>LEN(Sheet1!B437)</f>
        <v>9</v>
      </c>
      <c r="J437" t="str">
        <f>TRIM(Sheet1!C437)</f>
        <v>Sci-Fi</v>
      </c>
      <c r="K437" t="str">
        <f>VLOOKUP(Sheet1!A437,Sheet1!A437:I936,3,0)</f>
        <v>Sci-Fi</v>
      </c>
      <c r="L437">
        <f>VLOOKUP(Sheet1!B437,Sheet1!B437:I936,3,0)</f>
        <v>192</v>
      </c>
    </row>
    <row r="438" spans="5:12" x14ac:dyDescent="0.25">
      <c r="E438" t="str">
        <f>IF(Sheet1!D438&gt;120,"Long","Short")</f>
        <v>Long</v>
      </c>
      <c r="F438" t="str">
        <f>_xlfn.CONCAT(Sheet1!A438," -",Sheet1!B438)</f>
        <v>M1436 -Movie_436</v>
      </c>
      <c r="G438" t="str">
        <f>LEFT(Sheet1!F438,3)</f>
        <v>Hin</v>
      </c>
      <c r="H438" t="str">
        <f>RIGHT(Sheet1!G438,2)</f>
        <v>09</v>
      </c>
      <c r="I438">
        <f>LEN(Sheet1!B438)</f>
        <v>9</v>
      </c>
      <c r="J438" t="str">
        <f>TRIM(Sheet1!C438)</f>
        <v>Thriller</v>
      </c>
      <c r="K438" t="str">
        <f>VLOOKUP(Sheet1!A438,Sheet1!A438:I937,3,0)</f>
        <v>Thriller</v>
      </c>
      <c r="L438">
        <f>VLOOKUP(Sheet1!B438,Sheet1!B438:I937,3,0)</f>
        <v>173</v>
      </c>
    </row>
    <row r="439" spans="5:12" x14ac:dyDescent="0.25">
      <c r="E439" t="str">
        <f>IF(Sheet1!D439&gt;120,"Long","Short")</f>
        <v>Long</v>
      </c>
      <c r="F439" t="str">
        <f>_xlfn.CONCAT(Sheet1!A439," -",Sheet1!B439)</f>
        <v>M1437 -Movie_437</v>
      </c>
      <c r="G439" t="str">
        <f>LEFT(Sheet1!F439,3)</f>
        <v>Spa</v>
      </c>
      <c r="H439" t="str">
        <f>RIGHT(Sheet1!G439,2)</f>
        <v>88</v>
      </c>
      <c r="I439">
        <f>LEN(Sheet1!B439)</f>
        <v>9</v>
      </c>
      <c r="J439" t="str">
        <f>TRIM(Sheet1!C439)</f>
        <v>Drama</v>
      </c>
      <c r="K439" t="str">
        <f>VLOOKUP(Sheet1!A439,Sheet1!A439:I938,3,0)</f>
        <v>Drama</v>
      </c>
      <c r="L439">
        <f>VLOOKUP(Sheet1!B439,Sheet1!B439:I938,3,0)</f>
        <v>131</v>
      </c>
    </row>
    <row r="440" spans="5:12" x14ac:dyDescent="0.25">
      <c r="E440" t="str">
        <f>IF(Sheet1!D440&gt;120,"Long","Short")</f>
        <v>Short</v>
      </c>
      <c r="F440" t="str">
        <f>_xlfn.CONCAT(Sheet1!A440," -",Sheet1!B440)</f>
        <v>M1438 -Movie_438</v>
      </c>
      <c r="G440" t="str">
        <f>LEFT(Sheet1!F440,3)</f>
        <v>Spa</v>
      </c>
      <c r="H440" t="str">
        <f>RIGHT(Sheet1!G440,2)</f>
        <v>12</v>
      </c>
      <c r="I440">
        <f>LEN(Sheet1!B440)</f>
        <v>9</v>
      </c>
      <c r="J440" t="str">
        <f>TRIM(Sheet1!C440)</f>
        <v>Action</v>
      </c>
      <c r="K440" t="str">
        <f>VLOOKUP(Sheet1!A440,Sheet1!A440:I939,3,0)</f>
        <v>Action</v>
      </c>
      <c r="L440">
        <f>VLOOKUP(Sheet1!B440,Sheet1!B440:I939,3,0)</f>
        <v>106</v>
      </c>
    </row>
    <row r="441" spans="5:12" x14ac:dyDescent="0.25">
      <c r="E441" t="str">
        <f>IF(Sheet1!D441&gt;120,"Long","Short")</f>
        <v>Long</v>
      </c>
      <c r="F441" t="str">
        <f>_xlfn.CONCAT(Sheet1!A441," -",Sheet1!B441)</f>
        <v>M1439 -Movie_439</v>
      </c>
      <c r="G441" t="str">
        <f>LEFT(Sheet1!F441,3)</f>
        <v>Ger</v>
      </c>
      <c r="H441" t="str">
        <f>RIGHT(Sheet1!G441,2)</f>
        <v>06</v>
      </c>
      <c r="I441">
        <f>LEN(Sheet1!B441)</f>
        <v>9</v>
      </c>
      <c r="J441" t="str">
        <f>TRIM(Sheet1!C441)</f>
        <v>Action</v>
      </c>
      <c r="K441" t="str">
        <f>VLOOKUP(Sheet1!A441,Sheet1!A441:I940,3,0)</f>
        <v>Action</v>
      </c>
      <c r="L441">
        <f>VLOOKUP(Sheet1!B441,Sheet1!B441:I940,3,0)</f>
        <v>171</v>
      </c>
    </row>
    <row r="442" spans="5:12" x14ac:dyDescent="0.25">
      <c r="E442" t="str">
        <f>IF(Sheet1!D442&gt;120,"Long","Short")</f>
        <v>Long</v>
      </c>
      <c r="F442" t="str">
        <f>_xlfn.CONCAT(Sheet1!A442," -",Sheet1!B442)</f>
        <v>M1440 -Movie_440</v>
      </c>
      <c r="G442" t="str">
        <f>LEFT(Sheet1!F442,3)</f>
        <v>Hin</v>
      </c>
      <c r="H442" t="str">
        <f>RIGHT(Sheet1!G442,2)</f>
        <v>09</v>
      </c>
      <c r="I442">
        <f>LEN(Sheet1!B442)</f>
        <v>9</v>
      </c>
      <c r="J442" t="str">
        <f>TRIM(Sheet1!C442)</f>
        <v>Horror</v>
      </c>
      <c r="K442" t="str">
        <f>VLOOKUP(Sheet1!A442,Sheet1!A442:I941,3,0)</f>
        <v>Horror</v>
      </c>
      <c r="L442">
        <f>VLOOKUP(Sheet1!B442,Sheet1!B442:I941,3,0)</f>
        <v>185</v>
      </c>
    </row>
    <row r="443" spans="5:12" x14ac:dyDescent="0.25">
      <c r="E443" t="str">
        <f>IF(Sheet1!D443&gt;120,"Long","Short")</f>
        <v>Short</v>
      </c>
      <c r="F443" t="str">
        <f>_xlfn.CONCAT(Sheet1!A443," -",Sheet1!B443)</f>
        <v>M1441 -Movie_441</v>
      </c>
      <c r="G443" t="str">
        <f>LEFT(Sheet1!F443,3)</f>
        <v>Eng</v>
      </c>
      <c r="H443" t="str">
        <f>RIGHT(Sheet1!G443,2)</f>
        <v>16</v>
      </c>
      <c r="I443">
        <f>LEN(Sheet1!B443)</f>
        <v>9</v>
      </c>
      <c r="J443" t="str">
        <f>TRIM(Sheet1!C443)</f>
        <v>Thriller</v>
      </c>
      <c r="K443" t="str">
        <f>VLOOKUP(Sheet1!A443,Sheet1!A443:I942,3,0)</f>
        <v>Thriller</v>
      </c>
      <c r="L443">
        <f>VLOOKUP(Sheet1!B443,Sheet1!B443:I942,3,0)</f>
        <v>83</v>
      </c>
    </row>
    <row r="444" spans="5:12" x14ac:dyDescent="0.25">
      <c r="E444" t="str">
        <f>IF(Sheet1!D444&gt;120,"Long","Short")</f>
        <v>Long</v>
      </c>
      <c r="F444" t="str">
        <f>_xlfn.CONCAT(Sheet1!A444," -",Sheet1!B444)</f>
        <v>M1442 -Movie_442</v>
      </c>
      <c r="G444" t="str">
        <f>LEFT(Sheet1!F444,3)</f>
        <v>Eng</v>
      </c>
      <c r="H444" t="str">
        <f>RIGHT(Sheet1!G444,2)</f>
        <v>83</v>
      </c>
      <c r="I444">
        <f>LEN(Sheet1!B444)</f>
        <v>9</v>
      </c>
      <c r="J444" t="str">
        <f>TRIM(Sheet1!C444)</f>
        <v>Drama</v>
      </c>
      <c r="K444" t="str">
        <f>VLOOKUP(Sheet1!A444,Sheet1!A444:I943,3,0)</f>
        <v>Drama</v>
      </c>
      <c r="L444">
        <f>VLOOKUP(Sheet1!B444,Sheet1!B444:I943,3,0)</f>
        <v>180</v>
      </c>
    </row>
    <row r="445" spans="5:12" x14ac:dyDescent="0.25">
      <c r="E445" t="str">
        <f>IF(Sheet1!D445&gt;120,"Long","Short")</f>
        <v>Long</v>
      </c>
      <c r="F445" t="str">
        <f>_xlfn.CONCAT(Sheet1!A445," -",Sheet1!B445)</f>
        <v>M1443 -Movie_443</v>
      </c>
      <c r="G445" t="str">
        <f>LEFT(Sheet1!F445,3)</f>
        <v>Hin</v>
      </c>
      <c r="H445" t="str">
        <f>RIGHT(Sheet1!G445,2)</f>
        <v>15</v>
      </c>
      <c r="I445">
        <f>LEN(Sheet1!B445)</f>
        <v>9</v>
      </c>
      <c r="J445" t="str">
        <f>TRIM(Sheet1!C445)</f>
        <v>Action</v>
      </c>
      <c r="K445" t="str">
        <f>VLOOKUP(Sheet1!A445,Sheet1!A445:I944,3,0)</f>
        <v>Action</v>
      </c>
      <c r="L445">
        <f>VLOOKUP(Sheet1!B445,Sheet1!B445:I944,3,0)</f>
        <v>149</v>
      </c>
    </row>
    <row r="446" spans="5:12" x14ac:dyDescent="0.25">
      <c r="E446" t="str">
        <f>IF(Sheet1!D446&gt;120,"Long","Short")</f>
        <v>Long</v>
      </c>
      <c r="F446" t="str">
        <f>_xlfn.CONCAT(Sheet1!A446," -",Sheet1!B446)</f>
        <v>M1444 -Movie_444</v>
      </c>
      <c r="G446" t="str">
        <f>LEFT(Sheet1!F446,3)</f>
        <v>Spa</v>
      </c>
      <c r="H446" t="str">
        <f>RIGHT(Sheet1!G446,2)</f>
        <v>09</v>
      </c>
      <c r="I446">
        <f>LEN(Sheet1!B446)</f>
        <v>9</v>
      </c>
      <c r="J446" t="str">
        <f>TRIM(Sheet1!C446)</f>
        <v>Action</v>
      </c>
      <c r="K446" t="str">
        <f>VLOOKUP(Sheet1!A446,Sheet1!A446:I945,3,0)</f>
        <v>Action</v>
      </c>
      <c r="L446">
        <f>VLOOKUP(Sheet1!B446,Sheet1!B446:I945,3,0)</f>
        <v>164</v>
      </c>
    </row>
    <row r="447" spans="5:12" x14ac:dyDescent="0.25">
      <c r="E447" t="str">
        <f>IF(Sheet1!D447&gt;120,"Long","Short")</f>
        <v>Long</v>
      </c>
      <c r="F447" t="str">
        <f>_xlfn.CONCAT(Sheet1!A447," -",Sheet1!B447)</f>
        <v>M1445 -Movie_445</v>
      </c>
      <c r="G447" t="str">
        <f>LEFT(Sheet1!F447,3)</f>
        <v>Fre</v>
      </c>
      <c r="H447" t="str">
        <f>RIGHT(Sheet1!G447,2)</f>
        <v>23</v>
      </c>
      <c r="I447">
        <f>LEN(Sheet1!B447)</f>
        <v>9</v>
      </c>
      <c r="J447" t="str">
        <f>TRIM(Sheet1!C447)</f>
        <v>Drama</v>
      </c>
      <c r="K447" t="str">
        <f>VLOOKUP(Sheet1!A447,Sheet1!A447:I946,3,0)</f>
        <v>Drama</v>
      </c>
      <c r="L447">
        <f>VLOOKUP(Sheet1!B447,Sheet1!B447:I946,3,0)</f>
        <v>145</v>
      </c>
    </row>
    <row r="448" spans="5:12" x14ac:dyDescent="0.25">
      <c r="E448" t="str">
        <f>IF(Sheet1!D448&gt;120,"Long","Short")</f>
        <v>Long</v>
      </c>
      <c r="F448" t="str">
        <f>_xlfn.CONCAT(Sheet1!A448," -",Sheet1!B448)</f>
        <v>M1446 -Movie_446</v>
      </c>
      <c r="G448" t="str">
        <f>LEFT(Sheet1!F448,3)</f>
        <v>Spa</v>
      </c>
      <c r="H448" t="str">
        <f>RIGHT(Sheet1!G448,2)</f>
        <v>99</v>
      </c>
      <c r="I448">
        <f>LEN(Sheet1!B448)</f>
        <v>9</v>
      </c>
      <c r="J448" t="str">
        <f>TRIM(Sheet1!C448)</f>
        <v>Comedy</v>
      </c>
      <c r="K448" t="str">
        <f>VLOOKUP(Sheet1!A448,Sheet1!A448:I947,3,0)</f>
        <v>Comedy</v>
      </c>
      <c r="L448">
        <f>VLOOKUP(Sheet1!B448,Sheet1!B448:I947,3,0)</f>
        <v>142</v>
      </c>
    </row>
    <row r="449" spans="5:12" x14ac:dyDescent="0.25">
      <c r="E449" t="str">
        <f>IF(Sheet1!D449&gt;120,"Long","Short")</f>
        <v>Short</v>
      </c>
      <c r="F449" t="str">
        <f>_xlfn.CONCAT(Sheet1!A449," -",Sheet1!B449)</f>
        <v>M1447 -Movie_447</v>
      </c>
      <c r="G449" t="str">
        <f>LEFT(Sheet1!F449,3)</f>
        <v>Spa</v>
      </c>
      <c r="H449" t="str">
        <f>RIGHT(Sheet1!G449,2)</f>
        <v>81</v>
      </c>
      <c r="I449">
        <f>LEN(Sheet1!B449)</f>
        <v>9</v>
      </c>
      <c r="J449" t="str">
        <f>TRIM(Sheet1!C449)</f>
        <v>Horror</v>
      </c>
      <c r="K449" t="str">
        <f>VLOOKUP(Sheet1!A449,Sheet1!A449:I948,3,0)</f>
        <v>Horror</v>
      </c>
      <c r="L449">
        <f>VLOOKUP(Sheet1!B449,Sheet1!B449:I948,3,0)</f>
        <v>86</v>
      </c>
    </row>
    <row r="450" spans="5:12" x14ac:dyDescent="0.25">
      <c r="E450" t="str">
        <f>IF(Sheet1!D450&gt;120,"Long","Short")</f>
        <v>Short</v>
      </c>
      <c r="F450" t="str">
        <f>_xlfn.CONCAT(Sheet1!A450," -",Sheet1!B450)</f>
        <v>M1448 -Movie_448</v>
      </c>
      <c r="G450" t="str">
        <f>LEFT(Sheet1!F450,3)</f>
        <v>Fre</v>
      </c>
      <c r="H450" t="str">
        <f>RIGHT(Sheet1!G450,2)</f>
        <v>05</v>
      </c>
      <c r="I450">
        <f>LEN(Sheet1!B450)</f>
        <v>9</v>
      </c>
      <c r="J450" t="str">
        <f>TRIM(Sheet1!C450)</f>
        <v>Drama</v>
      </c>
      <c r="K450" t="str">
        <f>VLOOKUP(Sheet1!A450,Sheet1!A450:I949,3,0)</f>
        <v>Drama</v>
      </c>
      <c r="L450">
        <f>VLOOKUP(Sheet1!B450,Sheet1!B450:I949,3,0)</f>
        <v>101</v>
      </c>
    </row>
    <row r="451" spans="5:12" x14ac:dyDescent="0.25">
      <c r="E451" t="str">
        <f>IF(Sheet1!D451&gt;120,"Long","Short")</f>
        <v>Long</v>
      </c>
      <c r="F451" t="str">
        <f>_xlfn.CONCAT(Sheet1!A451," -",Sheet1!B451)</f>
        <v>M1449 -Movie_449</v>
      </c>
      <c r="G451" t="str">
        <f>LEFT(Sheet1!F451,3)</f>
        <v>Jap</v>
      </c>
      <c r="H451" t="str">
        <f>RIGHT(Sheet1!G451,2)</f>
        <v>96</v>
      </c>
      <c r="I451">
        <f>LEN(Sheet1!B451)</f>
        <v>9</v>
      </c>
      <c r="J451" t="str">
        <f>TRIM(Sheet1!C451)</f>
        <v>Comedy</v>
      </c>
      <c r="K451" t="str">
        <f>VLOOKUP(Sheet1!A451,Sheet1!A451:I950,3,0)</f>
        <v>Comedy</v>
      </c>
      <c r="L451">
        <f>VLOOKUP(Sheet1!B451,Sheet1!B451:I950,3,0)</f>
        <v>144</v>
      </c>
    </row>
    <row r="452" spans="5:12" x14ac:dyDescent="0.25">
      <c r="E452" t="str">
        <f>IF(Sheet1!D452&gt;120,"Long","Short")</f>
        <v>Long</v>
      </c>
      <c r="F452" t="str">
        <f>_xlfn.CONCAT(Sheet1!A452," -",Sheet1!B452)</f>
        <v>M1450 -Movie_450</v>
      </c>
      <c r="G452" t="str">
        <f>LEFT(Sheet1!F452,3)</f>
        <v>Spa</v>
      </c>
      <c r="H452" t="str">
        <f>RIGHT(Sheet1!G452,2)</f>
        <v>80</v>
      </c>
      <c r="I452">
        <f>LEN(Sheet1!B452)</f>
        <v>9</v>
      </c>
      <c r="J452" t="str">
        <f>TRIM(Sheet1!C452)</f>
        <v>Horror</v>
      </c>
      <c r="K452" t="str">
        <f>VLOOKUP(Sheet1!A452,Sheet1!A452:I951,3,0)</f>
        <v>Horror</v>
      </c>
      <c r="L452">
        <f>VLOOKUP(Sheet1!B452,Sheet1!B452:I951,3,0)</f>
        <v>165</v>
      </c>
    </row>
    <row r="453" spans="5:12" x14ac:dyDescent="0.25">
      <c r="E453" t="str">
        <f>IF(Sheet1!D453&gt;120,"Long","Short")</f>
        <v>Long</v>
      </c>
      <c r="F453" t="str">
        <f>_xlfn.CONCAT(Sheet1!A453," -",Sheet1!B453)</f>
        <v>M1451 -Movie_451</v>
      </c>
      <c r="G453" t="str">
        <f>LEFT(Sheet1!F453,3)</f>
        <v>Fre</v>
      </c>
      <c r="H453" t="str">
        <f>RIGHT(Sheet1!G453,2)</f>
        <v>93</v>
      </c>
      <c r="I453">
        <f>LEN(Sheet1!B453)</f>
        <v>9</v>
      </c>
      <c r="J453" t="str">
        <f>TRIM(Sheet1!C453)</f>
        <v>Thriller</v>
      </c>
      <c r="K453" t="str">
        <f>VLOOKUP(Sheet1!A453,Sheet1!A453:I952,3,0)</f>
        <v>Thriller</v>
      </c>
      <c r="L453">
        <f>VLOOKUP(Sheet1!B453,Sheet1!B453:I952,3,0)</f>
        <v>186</v>
      </c>
    </row>
    <row r="454" spans="5:12" x14ac:dyDescent="0.25">
      <c r="E454" t="str">
        <f>IF(Sheet1!D454&gt;120,"Long","Short")</f>
        <v>Long</v>
      </c>
      <c r="F454" t="str">
        <f>_xlfn.CONCAT(Sheet1!A454," -",Sheet1!B454)</f>
        <v>M1452 -Movie_452</v>
      </c>
      <c r="G454" t="str">
        <f>LEFT(Sheet1!F454,3)</f>
        <v>Hin</v>
      </c>
      <c r="H454" t="str">
        <f>RIGHT(Sheet1!G454,2)</f>
        <v>17</v>
      </c>
      <c r="I454">
        <f>LEN(Sheet1!B454)</f>
        <v>9</v>
      </c>
      <c r="J454" t="str">
        <f>TRIM(Sheet1!C454)</f>
        <v>Sci-Fi</v>
      </c>
      <c r="K454" t="str">
        <f>VLOOKUP(Sheet1!A454,Sheet1!A454:I953,3,0)</f>
        <v>Sci-Fi</v>
      </c>
      <c r="L454">
        <f>VLOOKUP(Sheet1!B454,Sheet1!B454:I953,3,0)</f>
        <v>133</v>
      </c>
    </row>
    <row r="455" spans="5:12" x14ac:dyDescent="0.25">
      <c r="E455" t="str">
        <f>IF(Sheet1!D455&gt;120,"Long","Short")</f>
        <v>Long</v>
      </c>
      <c r="F455" t="str">
        <f>_xlfn.CONCAT(Sheet1!A455," -",Sheet1!B455)</f>
        <v>M1453 -Movie_453</v>
      </c>
      <c r="G455" t="str">
        <f>LEFT(Sheet1!F455,3)</f>
        <v>Fre</v>
      </c>
      <c r="H455" t="str">
        <f>RIGHT(Sheet1!G455,2)</f>
        <v>84</v>
      </c>
      <c r="I455">
        <f>LEN(Sheet1!B455)</f>
        <v>9</v>
      </c>
      <c r="J455" t="str">
        <f>TRIM(Sheet1!C455)</f>
        <v>Horror</v>
      </c>
      <c r="K455" t="str">
        <f>VLOOKUP(Sheet1!A455,Sheet1!A455:I954,3,0)</f>
        <v>Horror</v>
      </c>
      <c r="L455">
        <f>VLOOKUP(Sheet1!B455,Sheet1!B455:I954,3,0)</f>
        <v>162</v>
      </c>
    </row>
    <row r="456" spans="5:12" x14ac:dyDescent="0.25">
      <c r="E456" t="str">
        <f>IF(Sheet1!D456&gt;120,"Long","Short")</f>
        <v>Long</v>
      </c>
      <c r="F456" t="str">
        <f>_xlfn.CONCAT(Sheet1!A456," -",Sheet1!B456)</f>
        <v>M1454 -Movie_454</v>
      </c>
      <c r="G456" t="str">
        <f>LEFT(Sheet1!F456,3)</f>
        <v>Eng</v>
      </c>
      <c r="H456" t="str">
        <f>RIGHT(Sheet1!G456,2)</f>
        <v>82</v>
      </c>
      <c r="I456">
        <f>LEN(Sheet1!B456)</f>
        <v>9</v>
      </c>
      <c r="J456" t="str">
        <f>TRIM(Sheet1!C456)</f>
        <v>Thriller</v>
      </c>
      <c r="K456" t="str">
        <f>VLOOKUP(Sheet1!A456,Sheet1!A456:I955,3,0)</f>
        <v>Thriller</v>
      </c>
      <c r="L456">
        <f>VLOOKUP(Sheet1!B456,Sheet1!B456:I955,3,0)</f>
        <v>200</v>
      </c>
    </row>
    <row r="457" spans="5:12" x14ac:dyDescent="0.25">
      <c r="E457" t="str">
        <f>IF(Sheet1!D457&gt;120,"Long","Short")</f>
        <v>Short</v>
      </c>
      <c r="F457" t="str">
        <f>_xlfn.CONCAT(Sheet1!A457," -",Sheet1!B457)</f>
        <v>M1455 -Movie_455</v>
      </c>
      <c r="G457" t="str">
        <f>LEFT(Sheet1!F457,3)</f>
        <v>Fre</v>
      </c>
      <c r="H457" t="str">
        <f>RIGHT(Sheet1!G457,2)</f>
        <v>07</v>
      </c>
      <c r="I457">
        <f>LEN(Sheet1!B457)</f>
        <v>9</v>
      </c>
      <c r="J457" t="str">
        <f>TRIM(Sheet1!C457)</f>
        <v>Sci-Fi</v>
      </c>
      <c r="K457" t="str">
        <f>VLOOKUP(Sheet1!A457,Sheet1!A457:I956,3,0)</f>
        <v>Sci-Fi</v>
      </c>
      <c r="L457">
        <f>VLOOKUP(Sheet1!B457,Sheet1!B457:I956,3,0)</f>
        <v>69</v>
      </c>
    </row>
    <row r="458" spans="5:12" x14ac:dyDescent="0.25">
      <c r="E458" t="str">
        <f>IF(Sheet1!D458&gt;120,"Long","Short")</f>
        <v>Long</v>
      </c>
      <c r="F458" t="str">
        <f>_xlfn.CONCAT(Sheet1!A458," -",Sheet1!B458)</f>
        <v>M1456 -Movie_456</v>
      </c>
      <c r="G458" t="str">
        <f>LEFT(Sheet1!F458,3)</f>
        <v>Spa</v>
      </c>
      <c r="H458" t="str">
        <f>RIGHT(Sheet1!G458,2)</f>
        <v>02</v>
      </c>
      <c r="I458">
        <f>LEN(Sheet1!B458)</f>
        <v>9</v>
      </c>
      <c r="J458" t="str">
        <f>TRIM(Sheet1!C458)</f>
        <v>Action</v>
      </c>
      <c r="K458" t="str">
        <f>VLOOKUP(Sheet1!A458,Sheet1!A458:I957,3,0)</f>
        <v>Action</v>
      </c>
      <c r="L458">
        <f>VLOOKUP(Sheet1!B458,Sheet1!B458:I957,3,0)</f>
        <v>176</v>
      </c>
    </row>
    <row r="459" spans="5:12" x14ac:dyDescent="0.25">
      <c r="E459" t="str">
        <f>IF(Sheet1!D459&gt;120,"Long","Short")</f>
        <v>Short</v>
      </c>
      <c r="F459" t="str">
        <f>_xlfn.CONCAT(Sheet1!A459," -",Sheet1!B459)</f>
        <v>M1457 -Movie_457</v>
      </c>
      <c r="G459" t="str">
        <f>LEFT(Sheet1!F459,3)</f>
        <v>Jap</v>
      </c>
      <c r="H459" t="str">
        <f>RIGHT(Sheet1!G459,2)</f>
        <v>24</v>
      </c>
      <c r="I459">
        <f>LEN(Sheet1!B459)</f>
        <v>9</v>
      </c>
      <c r="J459" t="str">
        <f>TRIM(Sheet1!C459)</f>
        <v>Action</v>
      </c>
      <c r="K459" t="str">
        <f>VLOOKUP(Sheet1!A459,Sheet1!A459:I958,3,0)</f>
        <v>Action</v>
      </c>
      <c r="L459">
        <f>VLOOKUP(Sheet1!B459,Sheet1!B459:I958,3,0)</f>
        <v>82</v>
      </c>
    </row>
    <row r="460" spans="5:12" x14ac:dyDescent="0.25">
      <c r="E460" t="str">
        <f>IF(Sheet1!D460&gt;120,"Long","Short")</f>
        <v>Long</v>
      </c>
      <c r="F460" t="str">
        <f>_xlfn.CONCAT(Sheet1!A460," -",Sheet1!B460)</f>
        <v>M1458 -Movie_458</v>
      </c>
      <c r="G460" t="str">
        <f>LEFT(Sheet1!F460,3)</f>
        <v>Hin</v>
      </c>
      <c r="H460" t="str">
        <f>RIGHT(Sheet1!G460,2)</f>
        <v>84</v>
      </c>
      <c r="I460">
        <f>LEN(Sheet1!B460)</f>
        <v>9</v>
      </c>
      <c r="J460" t="str">
        <f>TRIM(Sheet1!C460)</f>
        <v>Action</v>
      </c>
      <c r="K460" t="str">
        <f>VLOOKUP(Sheet1!A460,Sheet1!A460:I959,3,0)</f>
        <v>Action</v>
      </c>
      <c r="L460">
        <f>VLOOKUP(Sheet1!B460,Sheet1!B460:I959,3,0)</f>
        <v>140</v>
      </c>
    </row>
    <row r="461" spans="5:12" x14ac:dyDescent="0.25">
      <c r="E461" t="str">
        <f>IF(Sheet1!D461&gt;120,"Long","Short")</f>
        <v>Long</v>
      </c>
      <c r="F461" t="str">
        <f>_xlfn.CONCAT(Sheet1!A461," -",Sheet1!B461)</f>
        <v>M1459 -Movie_459</v>
      </c>
      <c r="G461" t="str">
        <f>LEFT(Sheet1!F461,3)</f>
        <v>Fre</v>
      </c>
      <c r="H461" t="str">
        <f>RIGHT(Sheet1!G461,2)</f>
        <v>14</v>
      </c>
      <c r="I461">
        <f>LEN(Sheet1!B461)</f>
        <v>9</v>
      </c>
      <c r="J461" t="str">
        <f>TRIM(Sheet1!C461)</f>
        <v>Horror</v>
      </c>
      <c r="K461" t="str">
        <f>VLOOKUP(Sheet1!A461,Sheet1!A461:I960,3,0)</f>
        <v>Horror</v>
      </c>
      <c r="L461">
        <f>VLOOKUP(Sheet1!B461,Sheet1!B461:I960,3,0)</f>
        <v>124</v>
      </c>
    </row>
    <row r="462" spans="5:12" x14ac:dyDescent="0.25">
      <c r="E462" t="str">
        <f>IF(Sheet1!D462&gt;120,"Long","Short")</f>
        <v>Long</v>
      </c>
      <c r="F462" t="str">
        <f>_xlfn.CONCAT(Sheet1!A462," -",Sheet1!B462)</f>
        <v>M1460 -Movie_460</v>
      </c>
      <c r="G462" t="str">
        <f>LEFT(Sheet1!F462,3)</f>
        <v>Spa</v>
      </c>
      <c r="H462" t="str">
        <f>RIGHT(Sheet1!G462,2)</f>
        <v>83</v>
      </c>
      <c r="I462">
        <f>LEN(Sheet1!B462)</f>
        <v>9</v>
      </c>
      <c r="J462" t="str">
        <f>TRIM(Sheet1!C462)</f>
        <v>Comedy</v>
      </c>
      <c r="K462" t="str">
        <f>VLOOKUP(Sheet1!A462,Sheet1!A462:I961,3,0)</f>
        <v>Comedy</v>
      </c>
      <c r="L462">
        <f>VLOOKUP(Sheet1!B462,Sheet1!B462:I961,3,0)</f>
        <v>142</v>
      </c>
    </row>
    <row r="463" spans="5:12" x14ac:dyDescent="0.25">
      <c r="E463" t="str">
        <f>IF(Sheet1!D463&gt;120,"Long","Short")</f>
        <v>Short</v>
      </c>
      <c r="F463" t="str">
        <f>_xlfn.CONCAT(Sheet1!A463," -",Sheet1!B463)</f>
        <v>M1461 -Movie_461</v>
      </c>
      <c r="G463" t="str">
        <f>LEFT(Sheet1!F463,3)</f>
        <v>Jap</v>
      </c>
      <c r="H463" t="str">
        <f>RIGHT(Sheet1!G463,2)</f>
        <v>84</v>
      </c>
      <c r="I463">
        <f>LEN(Sheet1!B463)</f>
        <v>9</v>
      </c>
      <c r="J463" t="str">
        <f>TRIM(Sheet1!C463)</f>
        <v>Sci-Fi</v>
      </c>
      <c r="K463" t="str">
        <f>VLOOKUP(Sheet1!A463,Sheet1!A463:I962,3,0)</f>
        <v>Sci-Fi</v>
      </c>
      <c r="L463">
        <f>VLOOKUP(Sheet1!B463,Sheet1!B463:I962,3,0)</f>
        <v>89</v>
      </c>
    </row>
    <row r="464" spans="5:12" x14ac:dyDescent="0.25">
      <c r="E464" t="str">
        <f>IF(Sheet1!D464&gt;120,"Long","Short")</f>
        <v>Long</v>
      </c>
      <c r="F464" t="str">
        <f>_xlfn.CONCAT(Sheet1!A464," -",Sheet1!B464)</f>
        <v>M1462 -Movie_462</v>
      </c>
      <c r="G464" t="str">
        <f>LEFT(Sheet1!F464,3)</f>
        <v>Fre</v>
      </c>
      <c r="H464" t="str">
        <f>RIGHT(Sheet1!G464,2)</f>
        <v>10</v>
      </c>
      <c r="I464">
        <f>LEN(Sheet1!B464)</f>
        <v>9</v>
      </c>
      <c r="J464" t="str">
        <f>TRIM(Sheet1!C464)</f>
        <v>Action</v>
      </c>
      <c r="K464" t="str">
        <f>VLOOKUP(Sheet1!A464,Sheet1!A464:I963,3,0)</f>
        <v>Action</v>
      </c>
      <c r="L464">
        <f>VLOOKUP(Sheet1!B464,Sheet1!B464:I963,3,0)</f>
        <v>163</v>
      </c>
    </row>
    <row r="465" spans="5:12" x14ac:dyDescent="0.25">
      <c r="E465" t="str">
        <f>IF(Sheet1!D465&gt;120,"Long","Short")</f>
        <v>Long</v>
      </c>
      <c r="F465" t="str">
        <f>_xlfn.CONCAT(Sheet1!A465," -",Sheet1!B465)</f>
        <v>M1463 -Movie_463</v>
      </c>
      <c r="G465" t="str">
        <f>LEFT(Sheet1!F465,3)</f>
        <v>Hin</v>
      </c>
      <c r="H465" t="str">
        <f>RIGHT(Sheet1!G465,2)</f>
        <v>82</v>
      </c>
      <c r="I465">
        <f>LEN(Sheet1!B465)</f>
        <v>9</v>
      </c>
      <c r="J465" t="str">
        <f>TRIM(Sheet1!C465)</f>
        <v>Drama</v>
      </c>
      <c r="K465" t="str">
        <f>VLOOKUP(Sheet1!A465,Sheet1!A465:I964,3,0)</f>
        <v>Drama</v>
      </c>
      <c r="L465">
        <f>VLOOKUP(Sheet1!B465,Sheet1!B465:I964,3,0)</f>
        <v>191</v>
      </c>
    </row>
    <row r="466" spans="5:12" x14ac:dyDescent="0.25">
      <c r="E466" t="str">
        <f>IF(Sheet1!D466&gt;120,"Long","Short")</f>
        <v>Short</v>
      </c>
      <c r="F466" t="str">
        <f>_xlfn.CONCAT(Sheet1!A466," -",Sheet1!B466)</f>
        <v>M1464 -Movie_464</v>
      </c>
      <c r="G466" t="str">
        <f>LEFT(Sheet1!F466,3)</f>
        <v>Hin</v>
      </c>
      <c r="H466" t="str">
        <f>RIGHT(Sheet1!G466,2)</f>
        <v>98</v>
      </c>
      <c r="I466">
        <f>LEN(Sheet1!B466)</f>
        <v>9</v>
      </c>
      <c r="J466" t="str">
        <f>TRIM(Sheet1!C466)</f>
        <v>Sci-Fi</v>
      </c>
      <c r="K466" t="str">
        <f>VLOOKUP(Sheet1!A466,Sheet1!A466:I965,3,0)</f>
        <v>Sci-Fi</v>
      </c>
      <c r="L466">
        <f>VLOOKUP(Sheet1!B466,Sheet1!B466:I965,3,0)</f>
        <v>60</v>
      </c>
    </row>
    <row r="467" spans="5:12" x14ac:dyDescent="0.25">
      <c r="E467" t="str">
        <f>IF(Sheet1!D467&gt;120,"Long","Short")</f>
        <v>Long</v>
      </c>
      <c r="F467" t="str">
        <f>_xlfn.CONCAT(Sheet1!A467," -",Sheet1!B467)</f>
        <v>M1465 -Movie_465</v>
      </c>
      <c r="G467" t="str">
        <f>LEFT(Sheet1!F467,3)</f>
        <v>Eng</v>
      </c>
      <c r="H467" t="str">
        <f>RIGHT(Sheet1!G467,2)</f>
        <v>06</v>
      </c>
      <c r="I467">
        <f>LEN(Sheet1!B467)</f>
        <v>9</v>
      </c>
      <c r="J467" t="str">
        <f>TRIM(Sheet1!C467)</f>
        <v>Sci-Fi</v>
      </c>
      <c r="K467" t="str">
        <f>VLOOKUP(Sheet1!A467,Sheet1!A467:I966,3,0)</f>
        <v>Sci-Fi</v>
      </c>
      <c r="L467">
        <f>VLOOKUP(Sheet1!B467,Sheet1!B467:I966,3,0)</f>
        <v>198</v>
      </c>
    </row>
    <row r="468" spans="5:12" x14ac:dyDescent="0.25">
      <c r="E468" t="str">
        <f>IF(Sheet1!D468&gt;120,"Long","Short")</f>
        <v>Long</v>
      </c>
      <c r="F468" t="str">
        <f>_xlfn.CONCAT(Sheet1!A468," -",Sheet1!B468)</f>
        <v>M1466 -Movie_466</v>
      </c>
      <c r="G468" t="str">
        <f>LEFT(Sheet1!F468,3)</f>
        <v>Hin</v>
      </c>
      <c r="H468" t="str">
        <f>RIGHT(Sheet1!G468,2)</f>
        <v>91</v>
      </c>
      <c r="I468">
        <f>LEN(Sheet1!B468)</f>
        <v>9</v>
      </c>
      <c r="J468" t="str">
        <f>TRIM(Sheet1!C468)</f>
        <v>Comedy</v>
      </c>
      <c r="K468" t="str">
        <f>VLOOKUP(Sheet1!A468,Sheet1!A468:I967,3,0)</f>
        <v>Comedy</v>
      </c>
      <c r="L468">
        <f>VLOOKUP(Sheet1!B468,Sheet1!B468:I967,3,0)</f>
        <v>178</v>
      </c>
    </row>
    <row r="469" spans="5:12" x14ac:dyDescent="0.25">
      <c r="E469" t="str">
        <f>IF(Sheet1!D469&gt;120,"Long","Short")</f>
        <v>Long</v>
      </c>
      <c r="F469" t="str">
        <f>_xlfn.CONCAT(Sheet1!A469," -",Sheet1!B469)</f>
        <v>M1467 -Movie_467</v>
      </c>
      <c r="G469" t="str">
        <f>LEFT(Sheet1!F469,3)</f>
        <v>Jap</v>
      </c>
      <c r="H469" t="str">
        <f>RIGHT(Sheet1!G469,2)</f>
        <v>88</v>
      </c>
      <c r="I469">
        <f>LEN(Sheet1!B469)</f>
        <v>9</v>
      </c>
      <c r="J469" t="str">
        <f>TRIM(Sheet1!C469)</f>
        <v>Thriller</v>
      </c>
      <c r="K469" t="str">
        <f>VLOOKUP(Sheet1!A469,Sheet1!A469:I968,3,0)</f>
        <v>Thriller</v>
      </c>
      <c r="L469">
        <f>VLOOKUP(Sheet1!B469,Sheet1!B469:I968,3,0)</f>
        <v>165</v>
      </c>
    </row>
    <row r="470" spans="5:12" x14ac:dyDescent="0.25">
      <c r="E470" t="str">
        <f>IF(Sheet1!D470&gt;120,"Long","Short")</f>
        <v>Short</v>
      </c>
      <c r="F470" t="str">
        <f>_xlfn.CONCAT(Sheet1!A470," -",Sheet1!B470)</f>
        <v>M1468 -Movie_468</v>
      </c>
      <c r="G470" t="str">
        <f>LEFT(Sheet1!F470,3)</f>
        <v>Spa</v>
      </c>
      <c r="H470" t="str">
        <f>RIGHT(Sheet1!G470,2)</f>
        <v>21</v>
      </c>
      <c r="I470">
        <f>LEN(Sheet1!B470)</f>
        <v>9</v>
      </c>
      <c r="J470" t="str">
        <f>TRIM(Sheet1!C470)</f>
        <v>Comedy</v>
      </c>
      <c r="K470" t="str">
        <f>VLOOKUP(Sheet1!A470,Sheet1!A470:I969,3,0)</f>
        <v>Comedy</v>
      </c>
      <c r="L470">
        <f>VLOOKUP(Sheet1!B470,Sheet1!B470:I969,3,0)</f>
        <v>73</v>
      </c>
    </row>
    <row r="471" spans="5:12" x14ac:dyDescent="0.25">
      <c r="E471" t="str">
        <f>IF(Sheet1!D471&gt;120,"Long","Short")</f>
        <v>Short</v>
      </c>
      <c r="F471" t="str">
        <f>_xlfn.CONCAT(Sheet1!A471," -",Sheet1!B471)</f>
        <v>M1469 -Movie_469</v>
      </c>
      <c r="G471" t="str">
        <f>LEFT(Sheet1!F471,3)</f>
        <v>Hin</v>
      </c>
      <c r="H471" t="str">
        <f>RIGHT(Sheet1!G471,2)</f>
        <v>21</v>
      </c>
      <c r="I471">
        <f>LEN(Sheet1!B471)</f>
        <v>9</v>
      </c>
      <c r="J471" t="str">
        <f>TRIM(Sheet1!C471)</f>
        <v>Action</v>
      </c>
      <c r="K471" t="str">
        <f>VLOOKUP(Sheet1!A471,Sheet1!A471:I970,3,0)</f>
        <v>Action</v>
      </c>
      <c r="L471">
        <f>VLOOKUP(Sheet1!B471,Sheet1!B471:I970,3,0)</f>
        <v>108</v>
      </c>
    </row>
    <row r="472" spans="5:12" x14ac:dyDescent="0.25">
      <c r="E472" t="str">
        <f>IF(Sheet1!D472&gt;120,"Long","Short")</f>
        <v>Long</v>
      </c>
      <c r="F472" t="str">
        <f>_xlfn.CONCAT(Sheet1!A472," -",Sheet1!B472)</f>
        <v>M1470 -Movie_470</v>
      </c>
      <c r="G472" t="str">
        <f>LEFT(Sheet1!F472,3)</f>
        <v>Hin</v>
      </c>
      <c r="H472" t="str">
        <f>RIGHT(Sheet1!G472,2)</f>
        <v>06</v>
      </c>
      <c r="I472">
        <f>LEN(Sheet1!B472)</f>
        <v>9</v>
      </c>
      <c r="J472" t="str">
        <f>TRIM(Sheet1!C472)</f>
        <v>Drama</v>
      </c>
      <c r="K472" t="str">
        <f>VLOOKUP(Sheet1!A472,Sheet1!A472:I971,3,0)</f>
        <v>Drama</v>
      </c>
      <c r="L472">
        <f>VLOOKUP(Sheet1!B472,Sheet1!B472:I971,3,0)</f>
        <v>192</v>
      </c>
    </row>
    <row r="473" spans="5:12" x14ac:dyDescent="0.25">
      <c r="E473" t="str">
        <f>IF(Sheet1!D473&gt;120,"Long","Short")</f>
        <v>Long</v>
      </c>
      <c r="F473" t="str">
        <f>_xlfn.CONCAT(Sheet1!A473," -",Sheet1!B473)</f>
        <v>M1471 -Movie_471</v>
      </c>
      <c r="G473" t="str">
        <f>LEFT(Sheet1!F473,3)</f>
        <v>Spa</v>
      </c>
      <c r="H473" t="str">
        <f>RIGHT(Sheet1!G473,2)</f>
        <v>03</v>
      </c>
      <c r="I473">
        <f>LEN(Sheet1!B473)</f>
        <v>9</v>
      </c>
      <c r="J473" t="str">
        <f>TRIM(Sheet1!C473)</f>
        <v>Drama</v>
      </c>
      <c r="K473" t="str">
        <f>VLOOKUP(Sheet1!A473,Sheet1!A473:I972,3,0)</f>
        <v>Drama</v>
      </c>
      <c r="L473">
        <f>VLOOKUP(Sheet1!B473,Sheet1!B473:I972,3,0)</f>
        <v>152</v>
      </c>
    </row>
    <row r="474" spans="5:12" x14ac:dyDescent="0.25">
      <c r="E474" t="str">
        <f>IF(Sheet1!D474&gt;120,"Long","Short")</f>
        <v>Long</v>
      </c>
      <c r="F474" t="str">
        <f>_xlfn.CONCAT(Sheet1!A474," -",Sheet1!B474)</f>
        <v>M1472 -Movie_472</v>
      </c>
      <c r="G474" t="str">
        <f>LEFT(Sheet1!F474,3)</f>
        <v>Spa</v>
      </c>
      <c r="H474" t="str">
        <f>RIGHT(Sheet1!G474,2)</f>
        <v>04</v>
      </c>
      <c r="I474">
        <f>LEN(Sheet1!B474)</f>
        <v>9</v>
      </c>
      <c r="J474" t="str">
        <f>TRIM(Sheet1!C474)</f>
        <v>Action</v>
      </c>
      <c r="K474" t="str">
        <f>VLOOKUP(Sheet1!A474,Sheet1!A474:I973,3,0)</f>
        <v>Action</v>
      </c>
      <c r="L474">
        <f>VLOOKUP(Sheet1!B474,Sheet1!B474:I973,3,0)</f>
        <v>187</v>
      </c>
    </row>
    <row r="475" spans="5:12" x14ac:dyDescent="0.25">
      <c r="E475" t="str">
        <f>IF(Sheet1!D475&gt;120,"Long","Short")</f>
        <v>Long</v>
      </c>
      <c r="F475" t="str">
        <f>_xlfn.CONCAT(Sheet1!A475," -",Sheet1!B475)</f>
        <v>M1473 -Movie_473</v>
      </c>
      <c r="G475" t="str">
        <f>LEFT(Sheet1!F475,3)</f>
        <v>Jap</v>
      </c>
      <c r="H475" t="str">
        <f>RIGHT(Sheet1!G475,2)</f>
        <v>08</v>
      </c>
      <c r="I475">
        <f>LEN(Sheet1!B475)</f>
        <v>9</v>
      </c>
      <c r="J475" t="str">
        <f>TRIM(Sheet1!C475)</f>
        <v>Drama</v>
      </c>
      <c r="K475" t="str">
        <f>VLOOKUP(Sheet1!A475,Sheet1!A475:I974,3,0)</f>
        <v>Drama</v>
      </c>
      <c r="L475">
        <f>VLOOKUP(Sheet1!B475,Sheet1!B475:I974,3,0)</f>
        <v>173</v>
      </c>
    </row>
    <row r="476" spans="5:12" x14ac:dyDescent="0.25">
      <c r="E476" t="str">
        <f>IF(Sheet1!D476&gt;120,"Long","Short")</f>
        <v>Short</v>
      </c>
      <c r="F476" t="str">
        <f>_xlfn.CONCAT(Sheet1!A476," -",Sheet1!B476)</f>
        <v>M1474 -Movie_474</v>
      </c>
      <c r="G476" t="str">
        <f>LEFT(Sheet1!F476,3)</f>
        <v>Hin</v>
      </c>
      <c r="H476" t="str">
        <f>RIGHT(Sheet1!G476,2)</f>
        <v>04</v>
      </c>
      <c r="I476">
        <f>LEN(Sheet1!B476)</f>
        <v>9</v>
      </c>
      <c r="J476" t="str">
        <f>TRIM(Sheet1!C476)</f>
        <v>Comedy</v>
      </c>
      <c r="K476" t="str">
        <f>VLOOKUP(Sheet1!A476,Sheet1!A476:I975,3,0)</f>
        <v>Comedy</v>
      </c>
      <c r="L476">
        <f>VLOOKUP(Sheet1!B476,Sheet1!B476:I975,3,0)</f>
        <v>73</v>
      </c>
    </row>
    <row r="477" spans="5:12" x14ac:dyDescent="0.25">
      <c r="E477" t="str">
        <f>IF(Sheet1!D477&gt;120,"Long","Short")</f>
        <v>Short</v>
      </c>
      <c r="F477" t="str">
        <f>_xlfn.CONCAT(Sheet1!A477," -",Sheet1!B477)</f>
        <v>M1475 -Movie_475</v>
      </c>
      <c r="G477" t="str">
        <f>LEFT(Sheet1!F477,3)</f>
        <v>Jap</v>
      </c>
      <c r="H477" t="str">
        <f>RIGHT(Sheet1!G477,2)</f>
        <v>04</v>
      </c>
      <c r="I477">
        <f>LEN(Sheet1!B477)</f>
        <v>9</v>
      </c>
      <c r="J477" t="str">
        <f>TRIM(Sheet1!C477)</f>
        <v>Horror</v>
      </c>
      <c r="K477" t="str">
        <f>VLOOKUP(Sheet1!A477,Sheet1!A477:I976,3,0)</f>
        <v>Horror</v>
      </c>
      <c r="L477">
        <f>VLOOKUP(Sheet1!B477,Sheet1!B477:I976,3,0)</f>
        <v>112</v>
      </c>
    </row>
    <row r="478" spans="5:12" x14ac:dyDescent="0.25">
      <c r="E478" t="str">
        <f>IF(Sheet1!D478&gt;120,"Long","Short")</f>
        <v>Long</v>
      </c>
      <c r="F478" t="str">
        <f>_xlfn.CONCAT(Sheet1!A478," -",Sheet1!B478)</f>
        <v>M1476 -Movie_476</v>
      </c>
      <c r="G478" t="str">
        <f>LEFT(Sheet1!F478,3)</f>
        <v>Hin</v>
      </c>
      <c r="H478" t="str">
        <f>RIGHT(Sheet1!G478,2)</f>
        <v>85</v>
      </c>
      <c r="I478">
        <f>LEN(Sheet1!B478)</f>
        <v>9</v>
      </c>
      <c r="J478" t="str">
        <f>TRIM(Sheet1!C478)</f>
        <v>Comedy</v>
      </c>
      <c r="K478" t="str">
        <f>VLOOKUP(Sheet1!A478,Sheet1!A478:I977,3,0)</f>
        <v>Comedy</v>
      </c>
      <c r="L478">
        <f>VLOOKUP(Sheet1!B478,Sheet1!B478:I977,3,0)</f>
        <v>128</v>
      </c>
    </row>
    <row r="479" spans="5:12" x14ac:dyDescent="0.25">
      <c r="E479" t="str">
        <f>IF(Sheet1!D479&gt;120,"Long","Short")</f>
        <v>Long</v>
      </c>
      <c r="F479" t="str">
        <f>_xlfn.CONCAT(Sheet1!A479," -",Sheet1!B479)</f>
        <v>M1477 -Movie_477</v>
      </c>
      <c r="G479" t="str">
        <f>LEFT(Sheet1!F479,3)</f>
        <v>Fre</v>
      </c>
      <c r="H479" t="str">
        <f>RIGHT(Sheet1!G479,2)</f>
        <v>23</v>
      </c>
      <c r="I479">
        <f>LEN(Sheet1!B479)</f>
        <v>9</v>
      </c>
      <c r="J479" t="str">
        <f>TRIM(Sheet1!C479)</f>
        <v>Horror</v>
      </c>
      <c r="K479" t="str">
        <f>VLOOKUP(Sheet1!A479,Sheet1!A479:I978,3,0)</f>
        <v>Horror</v>
      </c>
      <c r="L479">
        <f>VLOOKUP(Sheet1!B479,Sheet1!B479:I978,3,0)</f>
        <v>200</v>
      </c>
    </row>
    <row r="480" spans="5:12" x14ac:dyDescent="0.25">
      <c r="E480" t="str">
        <f>IF(Sheet1!D480&gt;120,"Long","Short")</f>
        <v>Short</v>
      </c>
      <c r="F480" t="str">
        <f>_xlfn.CONCAT(Sheet1!A480," -",Sheet1!B480)</f>
        <v>M1478 -Movie_478</v>
      </c>
      <c r="G480" t="str">
        <f>LEFT(Sheet1!F480,3)</f>
        <v>Hin</v>
      </c>
      <c r="H480" t="str">
        <f>RIGHT(Sheet1!G480,2)</f>
        <v>22</v>
      </c>
      <c r="I480">
        <f>LEN(Sheet1!B480)</f>
        <v>9</v>
      </c>
      <c r="J480" t="str">
        <f>TRIM(Sheet1!C480)</f>
        <v>Action</v>
      </c>
      <c r="K480" t="str">
        <f>VLOOKUP(Sheet1!A480,Sheet1!A480:I979,3,0)</f>
        <v>Action</v>
      </c>
      <c r="L480">
        <f>VLOOKUP(Sheet1!B480,Sheet1!B480:I979,3,0)</f>
        <v>93</v>
      </c>
    </row>
    <row r="481" spans="5:12" x14ac:dyDescent="0.25">
      <c r="E481" t="str">
        <f>IF(Sheet1!D481&gt;120,"Long","Short")</f>
        <v>Long</v>
      </c>
      <c r="F481" t="str">
        <f>_xlfn.CONCAT(Sheet1!A481," -",Sheet1!B481)</f>
        <v>M1479 -Movie_479</v>
      </c>
      <c r="G481" t="str">
        <f>LEFT(Sheet1!F481,3)</f>
        <v>Eng</v>
      </c>
      <c r="H481" t="str">
        <f>RIGHT(Sheet1!G481,2)</f>
        <v>14</v>
      </c>
      <c r="I481">
        <f>LEN(Sheet1!B481)</f>
        <v>9</v>
      </c>
      <c r="J481" t="str">
        <f>TRIM(Sheet1!C481)</f>
        <v>Drama</v>
      </c>
      <c r="K481" t="str">
        <f>VLOOKUP(Sheet1!A481,Sheet1!A481:I980,3,0)</f>
        <v>Drama</v>
      </c>
      <c r="L481">
        <f>VLOOKUP(Sheet1!B481,Sheet1!B481:I980,3,0)</f>
        <v>133</v>
      </c>
    </row>
    <row r="482" spans="5:12" x14ac:dyDescent="0.25">
      <c r="E482" t="str">
        <f>IF(Sheet1!D482&gt;120,"Long","Short")</f>
        <v>Long</v>
      </c>
      <c r="F482" t="str">
        <f>_xlfn.CONCAT(Sheet1!A482," -",Sheet1!B482)</f>
        <v>M1480 -Movie_480</v>
      </c>
      <c r="G482" t="str">
        <f>LEFT(Sheet1!F482,3)</f>
        <v>Eng</v>
      </c>
      <c r="H482" t="str">
        <f>RIGHT(Sheet1!G482,2)</f>
        <v>88</v>
      </c>
      <c r="I482">
        <f>LEN(Sheet1!B482)</f>
        <v>9</v>
      </c>
      <c r="J482" t="str">
        <f>TRIM(Sheet1!C482)</f>
        <v>Sci-Fi</v>
      </c>
      <c r="K482" t="str">
        <f>VLOOKUP(Sheet1!A482,Sheet1!A482:I981,3,0)</f>
        <v>Sci-Fi</v>
      </c>
      <c r="L482">
        <f>VLOOKUP(Sheet1!B482,Sheet1!B482:I981,3,0)</f>
        <v>172</v>
      </c>
    </row>
    <row r="483" spans="5:12" x14ac:dyDescent="0.25">
      <c r="E483" t="str">
        <f>IF(Sheet1!D483&gt;120,"Long","Short")</f>
        <v>Long</v>
      </c>
      <c r="F483" t="str">
        <f>_xlfn.CONCAT(Sheet1!A483," -",Sheet1!B483)</f>
        <v>M1481 -Movie_481</v>
      </c>
      <c r="G483" t="str">
        <f>LEFT(Sheet1!F483,3)</f>
        <v>Eng</v>
      </c>
      <c r="H483" t="str">
        <f>RIGHT(Sheet1!G483,2)</f>
        <v>21</v>
      </c>
      <c r="I483">
        <f>LEN(Sheet1!B483)</f>
        <v>9</v>
      </c>
      <c r="J483" t="str">
        <f>TRIM(Sheet1!C483)</f>
        <v>Thriller</v>
      </c>
      <c r="K483" t="str">
        <f>VLOOKUP(Sheet1!A483,Sheet1!A483:I982,3,0)</f>
        <v>Thriller</v>
      </c>
      <c r="L483">
        <f>VLOOKUP(Sheet1!B483,Sheet1!B483:I982,3,0)</f>
        <v>184</v>
      </c>
    </row>
    <row r="484" spans="5:12" x14ac:dyDescent="0.25">
      <c r="E484" t="str">
        <f>IF(Sheet1!D484&gt;120,"Long","Short")</f>
        <v>Short</v>
      </c>
      <c r="F484" t="str">
        <f>_xlfn.CONCAT(Sheet1!A484," -",Sheet1!B484)</f>
        <v>M1482 -Movie_482</v>
      </c>
      <c r="G484" t="str">
        <f>LEFT(Sheet1!F484,3)</f>
        <v>Eng</v>
      </c>
      <c r="H484" t="str">
        <f>RIGHT(Sheet1!G484,2)</f>
        <v>02</v>
      </c>
      <c r="I484">
        <f>LEN(Sheet1!B484)</f>
        <v>9</v>
      </c>
      <c r="J484" t="str">
        <f>TRIM(Sheet1!C484)</f>
        <v>Sci-Fi</v>
      </c>
      <c r="K484" t="str">
        <f>VLOOKUP(Sheet1!A484,Sheet1!A484:I983,3,0)</f>
        <v>Sci-Fi</v>
      </c>
      <c r="L484">
        <f>VLOOKUP(Sheet1!B484,Sheet1!B484:I983,3,0)</f>
        <v>91</v>
      </c>
    </row>
    <row r="485" spans="5:12" x14ac:dyDescent="0.25">
      <c r="E485" t="str">
        <f>IF(Sheet1!D485&gt;120,"Long","Short")</f>
        <v>Short</v>
      </c>
      <c r="F485" t="str">
        <f>_xlfn.CONCAT(Sheet1!A485," -",Sheet1!B485)</f>
        <v>M1483 -Movie_483</v>
      </c>
      <c r="G485" t="str">
        <f>LEFT(Sheet1!F485,3)</f>
        <v>Jap</v>
      </c>
      <c r="H485" t="str">
        <f>RIGHT(Sheet1!G485,2)</f>
        <v>87</v>
      </c>
      <c r="I485">
        <f>LEN(Sheet1!B485)</f>
        <v>9</v>
      </c>
      <c r="J485" t="str">
        <f>TRIM(Sheet1!C485)</f>
        <v>Horror</v>
      </c>
      <c r="K485" t="str">
        <f>VLOOKUP(Sheet1!A485,Sheet1!A485:I984,3,0)</f>
        <v>Horror</v>
      </c>
      <c r="L485">
        <f>VLOOKUP(Sheet1!B485,Sheet1!B485:I984,3,0)</f>
        <v>67</v>
      </c>
    </row>
    <row r="486" spans="5:12" x14ac:dyDescent="0.25">
      <c r="E486" t="str">
        <f>IF(Sheet1!D486&gt;120,"Long","Short")</f>
        <v>Long</v>
      </c>
      <c r="F486" t="str">
        <f>_xlfn.CONCAT(Sheet1!A486," -",Sheet1!B486)</f>
        <v>M1484 -Movie_484</v>
      </c>
      <c r="G486" t="str">
        <f>LEFT(Sheet1!F486,3)</f>
        <v>Hin</v>
      </c>
      <c r="H486" t="str">
        <f>RIGHT(Sheet1!G486,2)</f>
        <v>91</v>
      </c>
      <c r="I486">
        <f>LEN(Sheet1!B486)</f>
        <v>9</v>
      </c>
      <c r="J486" t="str">
        <f>TRIM(Sheet1!C486)</f>
        <v>Comedy</v>
      </c>
      <c r="K486" t="str">
        <f>VLOOKUP(Sheet1!A486,Sheet1!A486:I985,3,0)</f>
        <v>Comedy</v>
      </c>
      <c r="L486">
        <f>VLOOKUP(Sheet1!B486,Sheet1!B486:I985,3,0)</f>
        <v>121</v>
      </c>
    </row>
    <row r="487" spans="5:12" x14ac:dyDescent="0.25">
      <c r="E487" t="str">
        <f>IF(Sheet1!D487&gt;120,"Long","Short")</f>
        <v>Short</v>
      </c>
      <c r="F487" t="str">
        <f>_xlfn.CONCAT(Sheet1!A487," -",Sheet1!B487)</f>
        <v>M1485 -Movie_485</v>
      </c>
      <c r="G487" t="str">
        <f>LEFT(Sheet1!F487,3)</f>
        <v>Fre</v>
      </c>
      <c r="H487" t="str">
        <f>RIGHT(Sheet1!G487,2)</f>
        <v>14</v>
      </c>
      <c r="I487">
        <f>LEN(Sheet1!B487)</f>
        <v>9</v>
      </c>
      <c r="J487" t="str">
        <f>TRIM(Sheet1!C487)</f>
        <v>Comedy</v>
      </c>
      <c r="K487" t="str">
        <f>VLOOKUP(Sheet1!A487,Sheet1!A487:I986,3,0)</f>
        <v>Comedy</v>
      </c>
      <c r="L487">
        <f>VLOOKUP(Sheet1!B487,Sheet1!B487:I986,3,0)</f>
        <v>100</v>
      </c>
    </row>
    <row r="488" spans="5:12" x14ac:dyDescent="0.25">
      <c r="E488" t="str">
        <f>IF(Sheet1!D488&gt;120,"Long","Short")</f>
        <v>Long</v>
      </c>
      <c r="F488" t="str">
        <f>_xlfn.CONCAT(Sheet1!A488," -",Sheet1!B488)</f>
        <v>M1486 -Movie_486</v>
      </c>
      <c r="G488" t="str">
        <f>LEFT(Sheet1!F488,3)</f>
        <v>Jap</v>
      </c>
      <c r="H488" t="str">
        <f>RIGHT(Sheet1!G488,2)</f>
        <v>05</v>
      </c>
      <c r="I488">
        <f>LEN(Sheet1!B488)</f>
        <v>9</v>
      </c>
      <c r="J488" t="str">
        <f>TRIM(Sheet1!C488)</f>
        <v>Comedy</v>
      </c>
      <c r="K488" t="str">
        <f>VLOOKUP(Sheet1!A488,Sheet1!A488:I987,3,0)</f>
        <v>Comedy</v>
      </c>
      <c r="L488">
        <f>VLOOKUP(Sheet1!B488,Sheet1!B488:I987,3,0)</f>
        <v>139</v>
      </c>
    </row>
    <row r="489" spans="5:12" x14ac:dyDescent="0.25">
      <c r="E489" t="str">
        <f>IF(Sheet1!D489&gt;120,"Long","Short")</f>
        <v>Short</v>
      </c>
      <c r="F489" t="str">
        <f>_xlfn.CONCAT(Sheet1!A489," -",Sheet1!B489)</f>
        <v>M1487 -Movie_487</v>
      </c>
      <c r="G489" t="str">
        <f>LEFT(Sheet1!F489,3)</f>
        <v>Spa</v>
      </c>
      <c r="H489" t="str">
        <f>RIGHT(Sheet1!G489,2)</f>
        <v>13</v>
      </c>
      <c r="I489">
        <f>LEN(Sheet1!B489)</f>
        <v>9</v>
      </c>
      <c r="J489" t="str">
        <f>TRIM(Sheet1!C489)</f>
        <v>Comedy</v>
      </c>
      <c r="K489" t="str">
        <f>VLOOKUP(Sheet1!A489,Sheet1!A489:I988,3,0)</f>
        <v>Comedy</v>
      </c>
      <c r="L489">
        <f>VLOOKUP(Sheet1!B489,Sheet1!B489:I988,3,0)</f>
        <v>63</v>
      </c>
    </row>
    <row r="490" spans="5:12" x14ac:dyDescent="0.25">
      <c r="E490" t="str">
        <f>IF(Sheet1!D490&gt;120,"Long","Short")</f>
        <v>Long</v>
      </c>
      <c r="F490" t="str">
        <f>_xlfn.CONCAT(Sheet1!A490," -",Sheet1!B490)</f>
        <v>M1488 -Movie_488</v>
      </c>
      <c r="G490" t="str">
        <f>LEFT(Sheet1!F490,3)</f>
        <v>Hin</v>
      </c>
      <c r="H490" t="str">
        <f>RIGHT(Sheet1!G490,2)</f>
        <v>88</v>
      </c>
      <c r="I490">
        <f>LEN(Sheet1!B490)</f>
        <v>9</v>
      </c>
      <c r="J490" t="str">
        <f>TRIM(Sheet1!C490)</f>
        <v>Thriller</v>
      </c>
      <c r="K490" t="str">
        <f>VLOOKUP(Sheet1!A490,Sheet1!A490:I989,3,0)</f>
        <v>Thriller</v>
      </c>
      <c r="L490">
        <f>VLOOKUP(Sheet1!B490,Sheet1!B490:I989,3,0)</f>
        <v>164</v>
      </c>
    </row>
    <row r="491" spans="5:12" x14ac:dyDescent="0.25">
      <c r="E491" t="str">
        <f>IF(Sheet1!D491&gt;120,"Long","Short")</f>
        <v>Short</v>
      </c>
      <c r="F491" t="str">
        <f>_xlfn.CONCAT(Sheet1!A491," -",Sheet1!B491)</f>
        <v>M1489 -Movie_489</v>
      </c>
      <c r="G491" t="str">
        <f>LEFT(Sheet1!F491,3)</f>
        <v>Ger</v>
      </c>
      <c r="H491" t="str">
        <f>RIGHT(Sheet1!G491,2)</f>
        <v>94</v>
      </c>
      <c r="I491">
        <f>LEN(Sheet1!B491)</f>
        <v>9</v>
      </c>
      <c r="J491" t="str">
        <f>TRIM(Sheet1!C491)</f>
        <v>Action</v>
      </c>
      <c r="K491" t="str">
        <f>VLOOKUP(Sheet1!A491,Sheet1!A491:I990,3,0)</f>
        <v>Action</v>
      </c>
      <c r="L491">
        <f>VLOOKUP(Sheet1!B491,Sheet1!B491:I990,3,0)</f>
        <v>83</v>
      </c>
    </row>
    <row r="492" spans="5:12" x14ac:dyDescent="0.25">
      <c r="E492" t="str">
        <f>IF(Sheet1!D492&gt;120,"Long","Short")</f>
        <v>Short</v>
      </c>
      <c r="F492" t="str">
        <f>_xlfn.CONCAT(Sheet1!A492," -",Sheet1!B492)</f>
        <v>M1490 -Movie_490</v>
      </c>
      <c r="G492" t="str">
        <f>LEFT(Sheet1!F492,3)</f>
        <v>Hin</v>
      </c>
      <c r="H492" t="str">
        <f>RIGHT(Sheet1!G492,2)</f>
        <v>80</v>
      </c>
      <c r="I492">
        <f>LEN(Sheet1!B492)</f>
        <v>9</v>
      </c>
      <c r="J492" t="str">
        <f>TRIM(Sheet1!C492)</f>
        <v>Comedy</v>
      </c>
      <c r="K492" t="str">
        <f>VLOOKUP(Sheet1!A492,Sheet1!A492:I991,3,0)</f>
        <v>Comedy</v>
      </c>
      <c r="L492">
        <f>VLOOKUP(Sheet1!B492,Sheet1!B492:I991,3,0)</f>
        <v>117</v>
      </c>
    </row>
    <row r="493" spans="5:12" x14ac:dyDescent="0.25">
      <c r="E493" t="str">
        <f>IF(Sheet1!D493&gt;120,"Long","Short")</f>
        <v>Short</v>
      </c>
      <c r="F493" t="str">
        <f>_xlfn.CONCAT(Sheet1!A493," -",Sheet1!B493)</f>
        <v>M1491 -Movie_491</v>
      </c>
      <c r="G493" t="str">
        <f>LEFT(Sheet1!F493,3)</f>
        <v>Jap</v>
      </c>
      <c r="H493" t="str">
        <f>RIGHT(Sheet1!G493,2)</f>
        <v>81</v>
      </c>
      <c r="I493">
        <f>LEN(Sheet1!B493)</f>
        <v>9</v>
      </c>
      <c r="J493" t="str">
        <f>TRIM(Sheet1!C493)</f>
        <v>Horror</v>
      </c>
      <c r="K493" t="str">
        <f>VLOOKUP(Sheet1!A493,Sheet1!A493:I992,3,0)</f>
        <v>Horror</v>
      </c>
      <c r="L493">
        <f>VLOOKUP(Sheet1!B493,Sheet1!B493:I992,3,0)</f>
        <v>89</v>
      </c>
    </row>
    <row r="494" spans="5:12" x14ac:dyDescent="0.25">
      <c r="E494" t="str">
        <f>IF(Sheet1!D494&gt;120,"Long","Short")</f>
        <v>Long</v>
      </c>
      <c r="F494" t="str">
        <f>_xlfn.CONCAT(Sheet1!A494," -",Sheet1!B494)</f>
        <v>M1492 -Movie_492</v>
      </c>
      <c r="G494" t="str">
        <f>LEFT(Sheet1!F494,3)</f>
        <v>Eng</v>
      </c>
      <c r="H494" t="str">
        <f>RIGHT(Sheet1!G494,2)</f>
        <v>99</v>
      </c>
      <c r="I494">
        <f>LEN(Sheet1!B494)</f>
        <v>9</v>
      </c>
      <c r="J494" t="str">
        <f>TRIM(Sheet1!C494)</f>
        <v>Drama</v>
      </c>
      <c r="K494" t="str">
        <f>VLOOKUP(Sheet1!A494,Sheet1!A494:I993,3,0)</f>
        <v>Drama</v>
      </c>
      <c r="L494">
        <f>VLOOKUP(Sheet1!B494,Sheet1!B494:I993,3,0)</f>
        <v>178</v>
      </c>
    </row>
    <row r="495" spans="5:12" x14ac:dyDescent="0.25">
      <c r="E495" t="str">
        <f>IF(Sheet1!D495&gt;120,"Long","Short")</f>
        <v>Short</v>
      </c>
      <c r="F495" t="str">
        <f>_xlfn.CONCAT(Sheet1!A495," -",Sheet1!B495)</f>
        <v>M1493 -Movie_493</v>
      </c>
      <c r="G495" t="str">
        <f>LEFT(Sheet1!F495,3)</f>
        <v>Ger</v>
      </c>
      <c r="H495" t="str">
        <f>RIGHT(Sheet1!G495,2)</f>
        <v>09</v>
      </c>
      <c r="I495">
        <f>LEN(Sheet1!B495)</f>
        <v>9</v>
      </c>
      <c r="J495" t="str">
        <f>TRIM(Sheet1!C495)</f>
        <v>Thriller</v>
      </c>
      <c r="K495" t="str">
        <f>VLOOKUP(Sheet1!A495,Sheet1!A495:I994,3,0)</f>
        <v>Thriller</v>
      </c>
      <c r="L495">
        <f>VLOOKUP(Sheet1!B495,Sheet1!B495:I994,3,0)</f>
        <v>90</v>
      </c>
    </row>
    <row r="496" spans="5:12" x14ac:dyDescent="0.25">
      <c r="E496" t="str">
        <f>IF(Sheet1!D496&gt;120,"Long","Short")</f>
        <v>Short</v>
      </c>
      <c r="F496" t="str">
        <f>_xlfn.CONCAT(Sheet1!A496," -",Sheet1!B496)</f>
        <v>M1494 -Movie_494</v>
      </c>
      <c r="G496" t="str">
        <f>LEFT(Sheet1!F496,3)</f>
        <v>Jap</v>
      </c>
      <c r="H496" t="str">
        <f>RIGHT(Sheet1!G496,2)</f>
        <v>23</v>
      </c>
      <c r="I496">
        <f>LEN(Sheet1!B496)</f>
        <v>9</v>
      </c>
      <c r="J496" t="str">
        <f>TRIM(Sheet1!C496)</f>
        <v>Horror</v>
      </c>
      <c r="K496" t="str">
        <f>VLOOKUP(Sheet1!A496,Sheet1!A496:I995,3,0)</f>
        <v>Horror</v>
      </c>
      <c r="L496">
        <f>VLOOKUP(Sheet1!B496,Sheet1!B496:I995,3,0)</f>
        <v>99</v>
      </c>
    </row>
    <row r="497" spans="5:12" x14ac:dyDescent="0.25">
      <c r="E497" t="str">
        <f>IF(Sheet1!D497&gt;120,"Long","Short")</f>
        <v>Long</v>
      </c>
      <c r="F497" t="str">
        <f>_xlfn.CONCAT(Sheet1!A497," -",Sheet1!B497)</f>
        <v>M1495 -Movie_495</v>
      </c>
      <c r="G497" t="str">
        <f>LEFT(Sheet1!F497,3)</f>
        <v>Hin</v>
      </c>
      <c r="H497" t="str">
        <f>RIGHT(Sheet1!G497,2)</f>
        <v>14</v>
      </c>
      <c r="I497">
        <f>LEN(Sheet1!B497)</f>
        <v>9</v>
      </c>
      <c r="J497" t="str">
        <f>TRIM(Sheet1!C497)</f>
        <v>Horror</v>
      </c>
      <c r="K497" t="str">
        <f>VLOOKUP(Sheet1!A497,Sheet1!A497:I996,3,0)</f>
        <v>Horror</v>
      </c>
      <c r="L497">
        <f>VLOOKUP(Sheet1!B497,Sheet1!B497:I996,3,0)</f>
        <v>187</v>
      </c>
    </row>
    <row r="498" spans="5:12" x14ac:dyDescent="0.25">
      <c r="E498" t="str">
        <f>IF(Sheet1!D498&gt;120,"Long","Short")</f>
        <v>Long</v>
      </c>
      <c r="F498" t="str">
        <f>_xlfn.CONCAT(Sheet1!A498," -",Sheet1!B498)</f>
        <v>M1496 -Movie_496</v>
      </c>
      <c r="G498" t="str">
        <f>LEFT(Sheet1!F498,3)</f>
        <v>Fre</v>
      </c>
      <c r="H498" t="str">
        <f>RIGHT(Sheet1!G498,2)</f>
        <v>07</v>
      </c>
      <c r="I498">
        <f>LEN(Sheet1!B498)</f>
        <v>9</v>
      </c>
      <c r="J498" t="str">
        <f>TRIM(Sheet1!C498)</f>
        <v>Comedy</v>
      </c>
      <c r="K498" t="str">
        <f>VLOOKUP(Sheet1!A498,Sheet1!A498:I997,3,0)</f>
        <v>Comedy</v>
      </c>
      <c r="L498">
        <f>VLOOKUP(Sheet1!B498,Sheet1!B498:I997,3,0)</f>
        <v>134</v>
      </c>
    </row>
    <row r="499" spans="5:12" x14ac:dyDescent="0.25">
      <c r="E499" t="str">
        <f>IF(Sheet1!D499&gt;120,"Long","Short")</f>
        <v>Long</v>
      </c>
      <c r="F499" t="str">
        <f>_xlfn.CONCAT(Sheet1!A499," -",Sheet1!B499)</f>
        <v>M1497 -Movie_497</v>
      </c>
      <c r="G499" t="str">
        <f>LEFT(Sheet1!F499,3)</f>
        <v>Jap</v>
      </c>
      <c r="H499" t="str">
        <f>RIGHT(Sheet1!G499,2)</f>
        <v>14</v>
      </c>
      <c r="I499">
        <f>LEN(Sheet1!B499)</f>
        <v>9</v>
      </c>
      <c r="J499" t="str">
        <f>TRIM(Sheet1!C499)</f>
        <v>Drama</v>
      </c>
      <c r="K499" t="str">
        <f>VLOOKUP(Sheet1!A499,Sheet1!A499:I998,3,0)</f>
        <v>Drama</v>
      </c>
      <c r="L499">
        <f>VLOOKUP(Sheet1!B499,Sheet1!B499:I998,3,0)</f>
        <v>190</v>
      </c>
    </row>
    <row r="500" spans="5:12" x14ac:dyDescent="0.25">
      <c r="E500" t="str">
        <f>IF(Sheet1!D500&gt;120,"Long","Short")</f>
        <v>Long</v>
      </c>
      <c r="F500" t="str">
        <f>_xlfn.CONCAT(Sheet1!A500," -",Sheet1!B500)</f>
        <v>M1498 -Movie_498</v>
      </c>
      <c r="G500" t="str">
        <f>LEFT(Sheet1!F500,3)</f>
        <v>Fre</v>
      </c>
      <c r="H500" t="str">
        <f>RIGHT(Sheet1!G500,2)</f>
        <v>04</v>
      </c>
      <c r="I500">
        <f>LEN(Sheet1!B500)</f>
        <v>9</v>
      </c>
      <c r="J500" t="str">
        <f>TRIM(Sheet1!C500)</f>
        <v>Comedy</v>
      </c>
      <c r="K500" t="str">
        <f>VLOOKUP(Sheet1!A500,Sheet1!A500:I999,3,0)</f>
        <v>Comedy</v>
      </c>
      <c r="L500">
        <f>VLOOKUP(Sheet1!B500,Sheet1!B500:I999,3,0)</f>
        <v>129</v>
      </c>
    </row>
    <row r="501" spans="5:12" x14ac:dyDescent="0.25">
      <c r="E501" t="str">
        <f>IF(Sheet1!D501&gt;120,"Long","Short")</f>
        <v>Long</v>
      </c>
      <c r="F501" t="str">
        <f>_xlfn.CONCAT(Sheet1!A501," -",Sheet1!B501)</f>
        <v>M1499 -Movie_499</v>
      </c>
      <c r="G501" t="str">
        <f>LEFT(Sheet1!F501,3)</f>
        <v>Ger</v>
      </c>
      <c r="H501" t="str">
        <f>RIGHT(Sheet1!G501,2)</f>
        <v>94</v>
      </c>
      <c r="I501">
        <f>LEN(Sheet1!B501)</f>
        <v>9</v>
      </c>
      <c r="J501" t="str">
        <f>TRIM(Sheet1!C501)</f>
        <v>Horror</v>
      </c>
      <c r="K501" t="str">
        <f>VLOOKUP(Sheet1!A501,Sheet1!A501:I1000,3,0)</f>
        <v>Horror</v>
      </c>
      <c r="L501">
        <f>VLOOKUP(Sheet1!B501,Sheet1!B501:I1000,3,0)</f>
        <v>166</v>
      </c>
    </row>
    <row r="502" spans="5:12" x14ac:dyDescent="0.25">
      <c r="E502" t="str">
        <f>IF(Sheet1!D502&gt;120,"Long","Short")</f>
        <v>Short</v>
      </c>
      <c r="F502" t="str">
        <f>_xlfn.CONCAT(Sheet1!A502," -",Sheet1!B502)</f>
        <v xml:space="preserve"> -</v>
      </c>
      <c r="G502" t="str">
        <f>LEFT(Sheet1!F502,3)</f>
        <v/>
      </c>
      <c r="H502" t="str">
        <f>RIGHT(Sheet1!G502,2)</f>
        <v/>
      </c>
      <c r="I502">
        <f>LEN(Sheet1!B502)</f>
        <v>0</v>
      </c>
      <c r="J502" t="str">
        <f>TRIM(Sheet1!C502)</f>
        <v/>
      </c>
      <c r="K502" t="e">
        <f>VLOOKUP(Sheet1!A502,Sheet1!A502:I1001,3,0)</f>
        <v>#N/A</v>
      </c>
      <c r="L502" t="e">
        <f>VLOOKUP(Sheet1!B502,Sheet1!B502:I1001,3,0)</f>
        <v>#N/A</v>
      </c>
    </row>
  </sheetData>
  <phoneticPr fontId="6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DHIVYA GANESAN</dc:creator>
  <cp:lastModifiedBy>Dhivya G</cp:lastModifiedBy>
  <dcterms:created xsi:type="dcterms:W3CDTF">2025-09-30T05:26:54Z</dcterms:created>
  <dcterms:modified xsi:type="dcterms:W3CDTF">2026-08-13T08:59:48Z</dcterms:modified>
</cp:coreProperties>
</file>